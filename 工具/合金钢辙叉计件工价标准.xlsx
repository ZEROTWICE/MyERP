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wage_management_system - bak\工具\"/>
    </mc:Choice>
  </mc:AlternateContent>
  <xr:revisionPtr revIDLastSave="0" documentId="13_ncr:1_{4053B397-E5B7-4976-90AD-F84AC4170170}" xr6:coauthVersionLast="47" xr6:coauthVersionMax="47" xr10:uidLastSave="{00000000-0000-0000-0000-000000000000}"/>
  <bookViews>
    <workbookView xWindow="-98" yWindow="-98" windowWidth="21795" windowHeight="12975" tabRatio="847" firstSheet="37" activeTab="43" xr2:uid="{00000000-000D-0000-FFFF-FFFF00000000}"/>
  </bookViews>
  <sheets>
    <sheet name="00-工价目录" sheetId="24" r:id="rId1"/>
    <sheet name="01-CZ2209-1" sheetId="10" r:id="rId2"/>
    <sheet name="02-专线4257-1" sheetId="11" r:id="rId3"/>
    <sheet name="03-CZ577-1" sheetId="98" r:id="rId4"/>
    <sheet name="04-CZ577" sheetId="14" r:id="rId5"/>
    <sheet name="05-XJX21" sheetId="15" r:id="rId6"/>
    <sheet name="06-XJX20" sheetId="16" r:id="rId7"/>
    <sheet name="07-SC330、专线4248" sheetId="3" r:id="rId8"/>
    <sheet name="08-SC330-1、专线4248-I" sheetId="12" r:id="rId9"/>
    <sheet name="09-专线4249" sheetId="103" r:id="rId10"/>
    <sheet name="10-专线4249-1" sheetId="99" r:id="rId11"/>
    <sheet name="11-CZ2209-IV" sheetId="50" r:id="rId12"/>
    <sheet name="12-CZ577-IV" sheetId="38" r:id="rId13"/>
    <sheet name="13-铁联线051-IV" sheetId="100" r:id="rId14"/>
    <sheet name="14-SC330-IV" sheetId="6" r:id="rId15"/>
    <sheet name="15-专线4249-IV" sheetId="101" r:id="rId16"/>
    <sheet name="16-精加工心轨" sheetId="8" r:id="rId17"/>
    <sheet name="17-专线9931" sheetId="18" r:id="rId18"/>
    <sheet name="18-CDDT7(II)-01 " sheetId="19" r:id="rId19"/>
    <sheet name="19-专线4196 " sheetId="20" r:id="rId20"/>
    <sheet name="20-CDDT7(Ⅱ)-01 " sheetId="44" r:id="rId21"/>
    <sheet name="21-CDGD8(II)-02" sheetId="45" r:id="rId22"/>
    <sheet name="22-CDDT(19)-01 " sheetId="21" r:id="rId23"/>
    <sheet name="23-TSY80-08" sheetId="46" r:id="rId24"/>
    <sheet name="24-TSY21-08" sheetId="47" r:id="rId25"/>
    <sheet name="25-SC330G" sheetId="22" r:id="rId26"/>
    <sheet name="26-专线4249G" sheetId="23" r:id="rId27"/>
    <sheet name="27-铁联线051" sheetId="25" r:id="rId28"/>
    <sheet name="28-专线9761-Ⅱ-400" sheetId="26" r:id="rId29"/>
    <sheet name="29-专线9761-Ⅲ-300" sheetId="27" r:id="rId30"/>
    <sheet name="30-专线9761-Ⅲ-400" sheetId="28" r:id="rId31"/>
    <sheet name="31-专线9761-Ⅲ-500" sheetId="29" r:id="rId32"/>
    <sheet name="32-成都地铁C6D813" sheetId="30" r:id="rId33"/>
    <sheet name="33-成都地铁C6JA94" sheetId="31" r:id="rId34"/>
    <sheet name="34-成都地铁ZYX-01" sheetId="32" r:id="rId35"/>
    <sheet name="35-成都地铁ZYX-02" sheetId="33" r:id="rId36"/>
    <sheet name="36-专线9775-Ⅰ-300" sheetId="34" r:id="rId37"/>
    <sheet name="37-专线9775-Ⅱ-400" sheetId="35" r:id="rId38"/>
    <sheet name="38-专线9775-Ⅱ-500" sheetId="36" r:id="rId39"/>
    <sheet name="39-GLC(09)05-Ⅳ" sheetId="40" r:id="rId40"/>
    <sheet name="40-研线1302-Ⅳ" sheetId="66" r:id="rId41"/>
    <sheet name="41-CB2215-Ⅳ" sheetId="41" r:id="rId42"/>
    <sheet name="42-CB2216-Ⅳ" sheetId="42" r:id="rId43"/>
    <sheet name="43-研线1302心轨及镶块" sheetId="37" r:id="rId44"/>
    <sheet name="44-研线1316镶块" sheetId="48" r:id="rId45"/>
    <sheet name="45-CZ2545心轨及镶块" sheetId="49" r:id="rId46"/>
    <sheet name="46-其它项目" sheetId="56" r:id="rId47"/>
    <sheet name="47-专线7623" sheetId="57" r:id="rId48"/>
    <sheet name="48-研线1115" sheetId="58" r:id="rId49"/>
    <sheet name="49-专线7623-Ⅳ" sheetId="59" r:id="rId50"/>
    <sheet name="50-CZ580" sheetId="60" r:id="rId51"/>
    <sheet name="51-CZ580-Ⅳ" sheetId="61" r:id="rId52"/>
    <sheet name="52-SC340-Ⅳ" sheetId="62" r:id="rId53"/>
    <sheet name="53-SC350-Ⅳ " sheetId="63" r:id="rId54"/>
    <sheet name="54-SC350G" sheetId="64" r:id="rId55"/>
    <sheet name="55-SC340" sheetId="65" r:id="rId56"/>
    <sheet name="56-铁联线021-IV" sheetId="67" r:id="rId57"/>
    <sheet name="57-XJX20-IV" sheetId="68" r:id="rId58"/>
    <sheet name="58-C6JJ11" sheetId="69" r:id="rId59"/>
    <sheet name="59-专线4248-IV" sheetId="88" r:id="rId60"/>
    <sheet name="60-CZ2504" sheetId="89" r:id="rId61"/>
    <sheet name="61-专线4257-Ⅳ" sheetId="90" r:id="rId62"/>
    <sheet name="62-SC330-IV" sheetId="91" r:id="rId63"/>
    <sheet name="63-CZ580" sheetId="92" r:id="rId64"/>
    <sheet name="64-CZ577" sheetId="93" r:id="rId65"/>
    <sheet name="65-CZ2209-I" sheetId="102" r:id="rId66"/>
    <sheet name="66-专线4204" sheetId="96" r:id="rId67"/>
    <sheet name="67-研线16121HC-I" sheetId="104" r:id="rId68"/>
    <sheet name="68-研线1609HC-I" sheetId="105" r:id="rId69"/>
    <sheet name="69-研线16121HC-IV" sheetId="106" r:id="rId70"/>
    <sheet name="70-研线1609HC-IV" sheetId="107" r:id="rId71"/>
    <sheet name="71-CZ2545HC-IV" sheetId="108" r:id="rId72"/>
    <sheet name="72-补漏项" sheetId="95" r:id="rId73"/>
    <sheet name="73-CZ2504-IV" sheetId="109" r:id="rId74"/>
  </sheets>
  <definedNames>
    <definedName name="_xlnm._FilterDatabase" localSheetId="0" hidden="1">'00-工价目录'!$A$3:$K$83</definedName>
    <definedName name="_xlnm._FilterDatabase" localSheetId="1" hidden="1">'01-CZ2209-1'!$A$3:$G$53</definedName>
    <definedName name="_xlnm._FilterDatabase" localSheetId="2" hidden="1">'02-专线4257-1'!$A$3:$G$54</definedName>
    <definedName name="_xlnm._FilterDatabase" localSheetId="3" hidden="1">'03-CZ577-1'!$A$3:$G$56</definedName>
    <definedName name="_xlnm._FilterDatabase" localSheetId="4" hidden="1">'04-CZ577'!$A$3:$G$50</definedName>
    <definedName name="_xlnm._FilterDatabase" localSheetId="5" hidden="1">'05-XJX21'!$A$3:$G$51</definedName>
    <definedName name="_xlnm._FilterDatabase" localSheetId="6" hidden="1">'06-XJX20'!$A$3:$G$55</definedName>
    <definedName name="_xlnm._FilterDatabase" localSheetId="7" hidden="1">'07-SC330、专线4248'!$A$3:$G$54</definedName>
    <definedName name="_xlnm._FilterDatabase" localSheetId="8" hidden="1">'08-SC330-1、专线4248-I'!$A$3:$G$55</definedName>
    <definedName name="_xlnm._FilterDatabase" localSheetId="9" hidden="1">'09-专线4249'!$A$3:$G$57</definedName>
    <definedName name="_xlnm._FilterDatabase" localSheetId="10" hidden="1">'10-专线4249-1'!$A$3:$G$59</definedName>
    <definedName name="_xlnm._FilterDatabase" localSheetId="11" hidden="1">'11-CZ2209-IV'!$A$3:$G$59</definedName>
    <definedName name="_xlnm._FilterDatabase" localSheetId="12" hidden="1">'12-CZ577-IV'!$A$3:$G$60</definedName>
    <definedName name="_xlnm._FilterDatabase" localSheetId="13" hidden="1">'13-铁联线051-IV'!$A$3:$G$62</definedName>
    <definedName name="_xlnm._FilterDatabase" localSheetId="14" hidden="1">'14-SC330-IV'!$A$3:$G$65</definedName>
    <definedName name="_xlnm._FilterDatabase" localSheetId="15" hidden="1">'15-专线4249-IV'!$A$3:$G$69</definedName>
    <definedName name="_xlnm._FilterDatabase" localSheetId="16" hidden="1">'16-精加工心轨'!$A$3:$H$19</definedName>
    <definedName name="_xlnm._FilterDatabase" localSheetId="17" hidden="1">'17-专线9931'!$A$3:$G$52</definedName>
    <definedName name="_xlnm._FilterDatabase" localSheetId="18" hidden="1">'18-CDDT7(II)-01 '!$A$3:$G$51</definedName>
    <definedName name="_xlnm._FilterDatabase" localSheetId="19" hidden="1">'19-专线4196 '!$A$3:$G$51</definedName>
    <definedName name="_xlnm._FilterDatabase" localSheetId="20" hidden="1">'20-CDDT7(Ⅱ)-01 '!$A$3:$G$51</definedName>
    <definedName name="_xlnm._FilterDatabase" localSheetId="21" hidden="1">'21-CDGD8(II)-02'!$A$3:$G$57</definedName>
    <definedName name="_xlnm._FilterDatabase" localSheetId="22" hidden="1">'22-CDDT(19)-01 '!$A$3:$G$56</definedName>
    <definedName name="_xlnm._FilterDatabase" localSheetId="23" hidden="1">'23-TSY80-08'!$A$3:$G$55</definedName>
    <definedName name="_xlnm._FilterDatabase" localSheetId="24" hidden="1">'24-TSY21-08'!$A$3:$G$58</definedName>
    <definedName name="_xlnm._FilterDatabase" localSheetId="25" hidden="1">'25-SC330G'!$A$3:$G$53</definedName>
    <definedName name="_xlnm._FilterDatabase" localSheetId="26" hidden="1">'26-专线4249G'!$A$3:$G$56</definedName>
    <definedName name="_xlnm._FilterDatabase" localSheetId="27" hidden="1">'27-铁联线051'!$A$3:$G$55</definedName>
    <definedName name="_xlnm._FilterDatabase" localSheetId="28" hidden="1">'28-专线9761-Ⅱ-400'!$A$3:$G$51</definedName>
    <definedName name="_xlnm._FilterDatabase" localSheetId="29" hidden="1">'29-专线9761-Ⅲ-300'!$A$3:$G$57</definedName>
    <definedName name="_xlnm._FilterDatabase" localSheetId="30" hidden="1">'30-专线9761-Ⅲ-400'!$A$3:$G$52</definedName>
    <definedName name="_xlnm._FilterDatabase" localSheetId="31" hidden="1">'31-专线9761-Ⅲ-500'!$A$3:$G$61</definedName>
    <definedName name="_xlnm._FilterDatabase" localSheetId="32" hidden="1">'32-成都地铁C6D813'!$A$3:$G$46</definedName>
    <definedName name="_xlnm._FilterDatabase" localSheetId="33" hidden="1">'33-成都地铁C6JA94'!$A$3:$G$46</definedName>
    <definedName name="_xlnm._FilterDatabase" localSheetId="34" hidden="1">'34-成都地铁ZYX-01'!$A$3:$G$54</definedName>
    <definedName name="_xlnm._FilterDatabase" localSheetId="35" hidden="1">'35-成都地铁ZYX-02'!$A$3:$G$61</definedName>
    <definedName name="_xlnm._FilterDatabase" localSheetId="36" hidden="1">'36-专线9775-Ⅰ-300'!$A$3:$G$55</definedName>
    <definedName name="_xlnm._FilterDatabase" localSheetId="37" hidden="1">'37-专线9775-Ⅱ-400'!$A$3:$G$50</definedName>
    <definedName name="_xlnm._FilterDatabase" localSheetId="38" hidden="1">'38-专线9775-Ⅱ-500'!$A$3:$G$60</definedName>
    <definedName name="_xlnm._FilterDatabase" localSheetId="39" hidden="1">'39-GLC(09)05-Ⅳ'!$A$3:$G$76</definedName>
    <definedName name="_xlnm._FilterDatabase" localSheetId="40" hidden="1">'40-研线1302-Ⅳ'!$A$3:$G$72</definedName>
    <definedName name="_xlnm._FilterDatabase" localSheetId="41" hidden="1">'41-CB2215-Ⅳ'!$A$3:$G$65</definedName>
    <definedName name="_xlnm._FilterDatabase" localSheetId="42" hidden="1">'42-CB2216-Ⅳ'!$A$3:$G$79</definedName>
    <definedName name="_xlnm._FilterDatabase" localSheetId="43" hidden="1">'43-研线1302心轨及镶块'!$A$3:$G$14</definedName>
    <definedName name="_xlnm._FilterDatabase" localSheetId="44" hidden="1">'44-研线1316镶块'!$A$3:$G$12</definedName>
    <definedName name="_xlnm._FilterDatabase" localSheetId="45" hidden="1">'45-CZ2545心轨及镶块'!$A$3:$G$14</definedName>
    <definedName name="_xlnm._FilterDatabase" localSheetId="46" hidden="1">'46-其它项目'!$A$3:$G$26</definedName>
    <definedName name="_xlnm._FilterDatabase" localSheetId="47" hidden="1">'47-专线7623'!$A$3:$G$60</definedName>
    <definedName name="_xlnm._FilterDatabase" localSheetId="48" hidden="1">'48-研线1115'!$A$3:$G$71</definedName>
    <definedName name="_xlnm._FilterDatabase" localSheetId="49" hidden="1">'49-专线7623-Ⅳ'!$A$3:$G$72</definedName>
    <definedName name="_xlnm._FilterDatabase" localSheetId="50" hidden="1">'50-CZ580'!$A$3:$G$54</definedName>
    <definedName name="_xlnm._FilterDatabase" localSheetId="51" hidden="1">'51-CZ580-Ⅳ'!$A$3:$G$64</definedName>
    <definedName name="_xlnm._FilterDatabase" localSheetId="52" hidden="1">'52-SC340-Ⅳ'!$A$3:$G$69</definedName>
    <definedName name="_xlnm._FilterDatabase" localSheetId="53" hidden="1">'53-SC350-Ⅳ '!$A$3:$G$65</definedName>
    <definedName name="_xlnm._FilterDatabase" localSheetId="54" hidden="1">'54-SC350G'!$A$3:$G$53</definedName>
    <definedName name="_xlnm._FilterDatabase" localSheetId="55" hidden="1">'55-SC340'!$A$3:$G$59</definedName>
    <definedName name="_xlnm._FilterDatabase" localSheetId="56" hidden="1">'56-铁联线021-IV'!$A$3:$G$72</definedName>
    <definedName name="_xlnm._FilterDatabase" localSheetId="57" hidden="1">'57-XJX20-IV'!$A$3:$G$66</definedName>
    <definedName name="_xlnm._FilterDatabase" localSheetId="58" hidden="1">'58-C6JJ11'!$A$3:$G$45</definedName>
    <definedName name="_xlnm._FilterDatabase" localSheetId="59" hidden="1">'59-专线4248-IV'!$A$3:$G$65</definedName>
    <definedName name="_xlnm._FilterDatabase" localSheetId="60" hidden="1">'60-CZ2504'!$A$3:$G$51</definedName>
    <definedName name="_xlnm._FilterDatabase" localSheetId="61" hidden="1">'61-专线4257-Ⅳ'!$A$3:$G$65</definedName>
    <definedName name="_xlnm._FilterDatabase" localSheetId="62" hidden="1">'62-SC330-IV'!$A$3:$G$65</definedName>
    <definedName name="_xlnm._FilterDatabase" localSheetId="63" hidden="1">'63-CZ580'!$A$3:$G$57</definedName>
    <definedName name="_xlnm._FilterDatabase" localSheetId="64" hidden="1">'64-CZ577'!$A$3:$G$51</definedName>
    <definedName name="_xlnm._FilterDatabase" localSheetId="65" hidden="1">'65-CZ2209-I'!$A$3:$G$56</definedName>
    <definedName name="_xlnm._FilterDatabase" localSheetId="66" hidden="1">'66-专线4204'!$A$3:$G$52</definedName>
    <definedName name="_xlnm._FilterDatabase" localSheetId="67" hidden="1">'67-研线16121HC-I'!$A$3:$G$65</definedName>
    <definedName name="_xlnm._FilterDatabase" localSheetId="68" hidden="1">'68-研线1609HC-I'!$A$3:$G$63</definedName>
    <definedName name="_xlnm._FilterDatabase" localSheetId="69" hidden="1">'69-研线16121HC-IV'!$A$3:$G$75</definedName>
    <definedName name="_xlnm._FilterDatabase" localSheetId="70" hidden="1">'70-研线1609HC-IV'!$A$3:$G$74</definedName>
    <definedName name="_xlnm._FilterDatabase" localSheetId="71" hidden="1">'71-CZ2545HC-IV'!$A$3:$G$69</definedName>
    <definedName name="_xlnm._FilterDatabase" localSheetId="73" hidden="1">'73-CZ2504-IV'!$A$3:$G$61</definedName>
    <definedName name="_xlnm.Print_Area" localSheetId="1">'01-CZ2209-1'!$A$1:$G$53</definedName>
    <definedName name="_xlnm.Print_Area" localSheetId="2">'02-专线4257-1'!$A$1:$G$54</definedName>
    <definedName name="_xlnm.Print_Area" localSheetId="3">'03-CZ577-1'!$A$1:$G$56</definedName>
    <definedName name="_xlnm.Print_Area" localSheetId="4">'04-CZ577'!$A$1:$G$50</definedName>
    <definedName name="_xlnm.Print_Area" localSheetId="5">'05-XJX21'!$A$1:$G$51</definedName>
    <definedName name="_xlnm.Print_Area" localSheetId="6">'06-XJX20'!$A$1:$G$55</definedName>
    <definedName name="_xlnm.Print_Area" localSheetId="7">'07-SC330、专线4248'!$A$1:$G$54</definedName>
    <definedName name="_xlnm.Print_Area" localSheetId="8">'08-SC330-1、专线4248-I'!$A$1:$G$55</definedName>
    <definedName name="_xlnm.Print_Area" localSheetId="9">'09-专线4249'!$A$1:$G$57</definedName>
    <definedName name="_xlnm.Print_Area" localSheetId="10">'10-专线4249-1'!$A$1:$G$59</definedName>
    <definedName name="_xlnm.Print_Area" localSheetId="11">'11-CZ2209-IV'!$A$1:$G$59</definedName>
    <definedName name="_xlnm.Print_Area" localSheetId="12">'12-CZ577-IV'!$A$1:$G$60</definedName>
    <definedName name="_xlnm.Print_Area" localSheetId="14">'14-SC330-IV'!$A$1:$G$65</definedName>
    <definedName name="_xlnm.Print_Area" localSheetId="15">'15-专线4249-IV'!$A$1:$G$69</definedName>
    <definedName name="_xlnm.Print_Area" localSheetId="16">'16-精加工心轨'!$A$1:$H$19</definedName>
    <definedName name="_xlnm.Print_Area" localSheetId="17">'17-专线9931'!$A$1:$G$52</definedName>
    <definedName name="_xlnm.Print_Area" localSheetId="18">'18-CDDT7(II)-01 '!$A$1:$G$51</definedName>
    <definedName name="_xlnm.Print_Area" localSheetId="19">'19-专线4196 '!$A$1:$G$51</definedName>
    <definedName name="_xlnm.Print_Area" localSheetId="20">'20-CDDT7(Ⅱ)-01 '!$A$1:$G$51</definedName>
    <definedName name="_xlnm.Print_Area" localSheetId="21">'21-CDGD8(II)-02'!$A$1:$G$57</definedName>
    <definedName name="_xlnm.Print_Area" localSheetId="22">'22-CDDT(19)-01 '!$A$1:$G$56</definedName>
    <definedName name="_xlnm.Print_Area" localSheetId="23">'23-TSY80-08'!$A$1:$G$55</definedName>
    <definedName name="_xlnm.Print_Area" localSheetId="24">'24-TSY21-08'!$A$1:$G$58</definedName>
    <definedName name="_xlnm.Print_Area" localSheetId="25">'25-SC330G'!$A$1:$G$53</definedName>
    <definedName name="_xlnm.Print_Area" localSheetId="26">'26-专线4249G'!$A$1:$G$56</definedName>
    <definedName name="_xlnm.Print_Area" localSheetId="27">'27-铁联线051'!$A$1:$G$55</definedName>
    <definedName name="_xlnm.Print_Area" localSheetId="28">'28-专线9761-Ⅱ-400'!$A$1:$G$51</definedName>
    <definedName name="_xlnm.Print_Area" localSheetId="29">'29-专线9761-Ⅲ-300'!$A$1:$G$57</definedName>
    <definedName name="_xlnm.Print_Area" localSheetId="31">'31-专线9761-Ⅲ-500'!$A$1:$G$61</definedName>
    <definedName name="_xlnm.Print_Area" localSheetId="32">'32-成都地铁C6D813'!$A$1:$G$46</definedName>
    <definedName name="_xlnm.Print_Area" localSheetId="33">'33-成都地铁C6JA94'!$A$1:$G$46</definedName>
    <definedName name="_xlnm.Print_Area" localSheetId="34">'34-成都地铁ZYX-01'!$A$1:$G$54</definedName>
    <definedName name="_xlnm.Print_Area" localSheetId="35">'35-成都地铁ZYX-02'!$A$1:$G$61</definedName>
    <definedName name="_xlnm.Print_Area" localSheetId="36">'36-专线9775-Ⅰ-300'!$A$1:$G$55</definedName>
    <definedName name="_xlnm.Print_Area" localSheetId="37">'37-专线9775-Ⅱ-400'!$A$1:$G$50</definedName>
    <definedName name="_xlnm.Print_Area" localSheetId="38">'38-专线9775-Ⅱ-500'!$A$1:$G$60</definedName>
    <definedName name="_xlnm.Print_Area" localSheetId="39">'39-GLC(09)05-Ⅳ'!$A$1:$G$76</definedName>
    <definedName name="_xlnm.Print_Area" localSheetId="40">'40-研线1302-Ⅳ'!$A$1:$G$72</definedName>
    <definedName name="_xlnm.Print_Area" localSheetId="41">'41-CB2215-Ⅳ'!$A$1:$G$65</definedName>
    <definedName name="_xlnm.Print_Area" localSheetId="42">'42-CB2216-Ⅳ'!$A$1:$G$79</definedName>
    <definedName name="_xlnm.Print_Area" localSheetId="43">'43-研线1302心轨及镶块'!$A$1:$G$25</definedName>
    <definedName name="_xlnm.Print_Area" localSheetId="44">'44-研线1316镶块'!$A$1:$G$12</definedName>
    <definedName name="_xlnm.Print_Area" localSheetId="45">'45-CZ2545心轨及镶块'!$A$1:$G$25</definedName>
    <definedName name="_xlnm.Print_Area" localSheetId="47">'47-专线7623'!$A$1:$G$60</definedName>
    <definedName name="_xlnm.Print_Area" localSheetId="48">'48-研线1115'!$A$1:$G$71</definedName>
    <definedName name="_xlnm.Print_Area" localSheetId="49">'49-专线7623-Ⅳ'!$A$1:$G$72</definedName>
    <definedName name="_xlnm.Print_Area" localSheetId="50">'50-CZ580'!$A$1:$G$54</definedName>
    <definedName name="_xlnm.Print_Area" localSheetId="51">'51-CZ580-Ⅳ'!$A$1:$G$64</definedName>
    <definedName name="_xlnm.Print_Area" localSheetId="52">'52-SC340-Ⅳ'!$A$1:$G$69</definedName>
    <definedName name="_xlnm.Print_Area" localSheetId="53">'53-SC350-Ⅳ '!$A$1:$G$65</definedName>
    <definedName name="_xlnm.Print_Area" localSheetId="54">'54-SC350G'!$A$1:$G$53</definedName>
    <definedName name="_xlnm.Print_Area" localSheetId="55">'55-SC340'!$A$1:$G$59</definedName>
    <definedName name="_xlnm.Print_Area" localSheetId="56">'56-铁联线021-IV'!$A$1:$G$72</definedName>
    <definedName name="_xlnm.Print_Area" localSheetId="57">'57-XJX20-IV'!$A$1:$G$66</definedName>
    <definedName name="_xlnm.Print_Area" localSheetId="58">'58-C6JJ11'!$A$1:$G$45</definedName>
    <definedName name="_xlnm.Print_Area" localSheetId="59">'59-专线4248-IV'!$A$1:$G$65</definedName>
    <definedName name="_xlnm.Print_Area" localSheetId="60">'60-CZ2504'!$A$1:$G$51</definedName>
    <definedName name="_xlnm.Print_Area" localSheetId="61">'61-专线4257-Ⅳ'!$A$1:$G$65</definedName>
    <definedName name="_xlnm.Print_Area" localSheetId="62">'62-SC330-IV'!$A$1:$G$65</definedName>
    <definedName name="_xlnm.Print_Area" localSheetId="63">'63-CZ580'!$A$1:$G$57</definedName>
    <definedName name="_xlnm.Print_Area" localSheetId="64">'64-CZ577'!$A$1:$G$51</definedName>
    <definedName name="_xlnm.Print_Area" localSheetId="65">'65-CZ2209-I'!$A$1:$G$56</definedName>
    <definedName name="_xlnm.Print_Area" localSheetId="66">'66-专线4204'!$A$1:$G$52</definedName>
    <definedName name="_xlnm.Print_Area" localSheetId="68">'68-研线1609HC-I'!$A$1:$G$63</definedName>
    <definedName name="_xlnm.Print_Area" localSheetId="69">'69-研线16121HC-IV'!$A$1:$G$75</definedName>
    <definedName name="_xlnm.Print_Area" localSheetId="70">'70-研线1609HC-IV'!$A$1:$G$74</definedName>
    <definedName name="_xlnm.Print_Area" localSheetId="71">'71-CZ2545HC-IV'!$A$1:$G$69</definedName>
    <definedName name="_xlnm.Print_Area" localSheetId="72">'72-补漏项'!$A$1:$G$34</definedName>
    <definedName name="_xlnm.Print_Area" localSheetId="73">'73-CZ2504-IV'!$A$1:$G$61</definedName>
    <definedName name="_xlnm.Print_Titles" localSheetId="0">'00-工价目录'!$1:$3</definedName>
    <definedName name="_xlnm.Print_Titles" localSheetId="1">'01-CZ2209-1'!$1:$3</definedName>
    <definedName name="_xlnm.Print_Titles" localSheetId="2">'02-专线4257-1'!$1:$3</definedName>
    <definedName name="_xlnm.Print_Titles" localSheetId="3">'03-CZ577-1'!$1:$3</definedName>
    <definedName name="_xlnm.Print_Titles" localSheetId="4">'04-CZ577'!$1:$3</definedName>
    <definedName name="_xlnm.Print_Titles" localSheetId="5">'05-XJX21'!$1:$3</definedName>
    <definedName name="_xlnm.Print_Titles" localSheetId="6">'06-XJX20'!$1:$3</definedName>
    <definedName name="_xlnm.Print_Titles" localSheetId="7">'07-SC330、专线4248'!$1:$3</definedName>
    <definedName name="_xlnm.Print_Titles" localSheetId="8">'08-SC330-1、专线4248-I'!$1:$3</definedName>
    <definedName name="_xlnm.Print_Titles" localSheetId="9">'09-专线4249'!$1:$3</definedName>
    <definedName name="_xlnm.Print_Titles" localSheetId="10">'10-专线4249-1'!$1:$3</definedName>
    <definedName name="_xlnm.Print_Titles" localSheetId="11">'11-CZ2209-IV'!$1:$3</definedName>
    <definedName name="_xlnm.Print_Titles" localSheetId="12">'12-CZ577-IV'!$1:$3</definedName>
    <definedName name="_xlnm.Print_Titles" localSheetId="13">'13-铁联线051-IV'!$1:$3</definedName>
    <definedName name="_xlnm.Print_Titles" localSheetId="14">'14-SC330-IV'!$1:$3</definedName>
    <definedName name="_xlnm.Print_Titles" localSheetId="15">'15-专线4249-IV'!$1:$3</definedName>
    <definedName name="_xlnm.Print_Titles" localSheetId="16">'16-精加工心轨'!$1:$3</definedName>
    <definedName name="_xlnm.Print_Titles" localSheetId="17">'17-专线9931'!$1:$3</definedName>
    <definedName name="_xlnm.Print_Titles" localSheetId="18">'18-CDDT7(II)-01 '!$1:$3</definedName>
    <definedName name="_xlnm.Print_Titles" localSheetId="19">'19-专线4196 '!$1:$3</definedName>
    <definedName name="_xlnm.Print_Titles" localSheetId="20">'20-CDDT7(Ⅱ)-01 '!$1:$3</definedName>
    <definedName name="_xlnm.Print_Titles" localSheetId="21">'21-CDGD8(II)-02'!$1:$3</definedName>
    <definedName name="_xlnm.Print_Titles" localSheetId="22">'22-CDDT(19)-01 '!$1:$3</definedName>
    <definedName name="_xlnm.Print_Titles" localSheetId="23">'23-TSY80-08'!$1:$3</definedName>
    <definedName name="_xlnm.Print_Titles" localSheetId="24">'24-TSY21-08'!$1:$3</definedName>
    <definedName name="_xlnm.Print_Titles" localSheetId="25">'25-SC330G'!$1:$3</definedName>
    <definedName name="_xlnm.Print_Titles" localSheetId="26">'26-专线4249G'!$1:$3</definedName>
    <definedName name="_xlnm.Print_Titles" localSheetId="27">'27-铁联线051'!$1:$3</definedName>
    <definedName name="_xlnm.Print_Titles" localSheetId="28">'28-专线9761-Ⅱ-400'!$1:$3</definedName>
    <definedName name="_xlnm.Print_Titles" localSheetId="29">'29-专线9761-Ⅲ-300'!$1:$3</definedName>
    <definedName name="_xlnm.Print_Titles" localSheetId="30">'30-专线9761-Ⅲ-400'!$1:$3</definedName>
    <definedName name="_xlnm.Print_Titles" localSheetId="31">'31-专线9761-Ⅲ-500'!$1:$3</definedName>
    <definedName name="_xlnm.Print_Titles" localSheetId="32">'32-成都地铁C6D813'!$1:$3</definedName>
    <definedName name="_xlnm.Print_Titles" localSheetId="33">'33-成都地铁C6JA94'!$1:$3</definedName>
    <definedName name="_xlnm.Print_Titles" localSheetId="34">'34-成都地铁ZYX-01'!$1:$3</definedName>
    <definedName name="_xlnm.Print_Titles" localSheetId="35">'35-成都地铁ZYX-02'!$1:$3</definedName>
    <definedName name="_xlnm.Print_Titles" localSheetId="36">'36-专线9775-Ⅰ-300'!$1:$3</definedName>
    <definedName name="_xlnm.Print_Titles" localSheetId="37">'37-专线9775-Ⅱ-400'!$1:$3</definedName>
    <definedName name="_xlnm.Print_Titles" localSheetId="38">'38-专线9775-Ⅱ-500'!$1:$3</definedName>
    <definedName name="_xlnm.Print_Titles" localSheetId="39">'39-GLC(09)05-Ⅳ'!$1:$3</definedName>
    <definedName name="_xlnm.Print_Titles" localSheetId="40">'40-研线1302-Ⅳ'!$1:$3</definedName>
    <definedName name="_xlnm.Print_Titles" localSheetId="41">'41-CB2215-Ⅳ'!$1:$3</definedName>
    <definedName name="_xlnm.Print_Titles" localSheetId="42">'42-CB2216-Ⅳ'!$1:$3</definedName>
    <definedName name="_xlnm.Print_Titles" localSheetId="43">'43-研线1302心轨及镶块'!$1:$3</definedName>
    <definedName name="_xlnm.Print_Titles" localSheetId="44">'44-研线1316镶块'!$1:$3</definedName>
    <definedName name="_xlnm.Print_Titles" localSheetId="45">'45-CZ2545心轨及镶块'!$1:$3</definedName>
    <definedName name="_xlnm.Print_Titles" localSheetId="46">'46-其它项目'!$1:$3</definedName>
    <definedName name="_xlnm.Print_Titles" localSheetId="47">'47-专线7623'!$1:$3</definedName>
    <definedName name="_xlnm.Print_Titles" localSheetId="48">'48-研线1115'!$1:$3</definedName>
    <definedName name="_xlnm.Print_Titles" localSheetId="49">'49-专线7623-Ⅳ'!$1:$3</definedName>
    <definedName name="_xlnm.Print_Titles" localSheetId="50">'50-CZ580'!$1:$3</definedName>
    <definedName name="_xlnm.Print_Titles" localSheetId="51">'51-CZ580-Ⅳ'!$1:$3</definedName>
    <definedName name="_xlnm.Print_Titles" localSheetId="52">'52-SC340-Ⅳ'!$1:$3</definedName>
    <definedName name="_xlnm.Print_Titles" localSheetId="53">'53-SC350-Ⅳ '!$1:$3</definedName>
    <definedName name="_xlnm.Print_Titles" localSheetId="54">'54-SC350G'!$1:$3</definedName>
    <definedName name="_xlnm.Print_Titles" localSheetId="55">'55-SC340'!$1:$3</definedName>
    <definedName name="_xlnm.Print_Titles" localSheetId="56">'56-铁联线021-IV'!$1:$3</definedName>
    <definedName name="_xlnm.Print_Titles" localSheetId="57">'57-XJX20-IV'!$1:$3</definedName>
    <definedName name="_xlnm.Print_Titles" localSheetId="58">'58-C6JJ11'!$1:$3</definedName>
    <definedName name="_xlnm.Print_Titles" localSheetId="59">'59-专线4248-IV'!$1:$3</definedName>
    <definedName name="_xlnm.Print_Titles" localSheetId="60">'60-CZ2504'!$1:$3</definedName>
    <definedName name="_xlnm.Print_Titles" localSheetId="61">'61-专线4257-Ⅳ'!$1:$3</definedName>
    <definedName name="_xlnm.Print_Titles" localSheetId="62">'62-SC330-IV'!$1:$3</definedName>
    <definedName name="_xlnm.Print_Titles" localSheetId="63">'63-CZ580'!$1:$3</definedName>
    <definedName name="_xlnm.Print_Titles" localSheetId="64">'64-CZ577'!$1:$3</definedName>
    <definedName name="_xlnm.Print_Titles" localSheetId="65">'65-CZ2209-I'!$1:$3</definedName>
    <definedName name="_xlnm.Print_Titles" localSheetId="66">'66-专线4204'!$1:$3</definedName>
    <definedName name="_xlnm.Print_Titles" localSheetId="67">'67-研线16121HC-I'!$1:$3</definedName>
    <definedName name="_xlnm.Print_Titles" localSheetId="68">'68-研线1609HC-I'!$1:$3</definedName>
    <definedName name="_xlnm.Print_Titles" localSheetId="69">'69-研线16121HC-IV'!$1:$3</definedName>
    <definedName name="_xlnm.Print_Titles" localSheetId="70">'70-研线1609HC-IV'!$1:$3</definedName>
    <definedName name="_xlnm.Print_Titles" localSheetId="71">'71-CZ2545HC-IV'!$1:$3</definedName>
    <definedName name="_xlnm.Print_Titles" localSheetId="72">'72-补漏项'!$1:$3</definedName>
    <definedName name="_xlnm.Print_Titles" localSheetId="73">'73-CZ2504-IV'!$1:$3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109" l="1"/>
  <c r="F55" i="109"/>
  <c r="F49" i="109"/>
  <c r="F44" i="109"/>
  <c r="F42" i="109"/>
  <c r="F39" i="109"/>
  <c r="F29" i="109"/>
  <c r="F22" i="109"/>
  <c r="F14" i="109"/>
  <c r="F60" i="109" s="1"/>
  <c r="F67" i="108"/>
  <c r="F63" i="108"/>
  <c r="F60" i="108"/>
  <c r="F54" i="108"/>
  <c r="F49" i="108"/>
  <c r="F45" i="108"/>
  <c r="F42" i="108"/>
  <c r="F30" i="108"/>
  <c r="F22" i="108"/>
  <c r="F14" i="108"/>
  <c r="F72" i="107"/>
  <c r="F67" i="107"/>
  <c r="F64" i="107"/>
  <c r="F54" i="107"/>
  <c r="F49" i="107"/>
  <c r="F47" i="107"/>
  <c r="F44" i="107"/>
  <c r="F32" i="107"/>
  <c r="F23" i="107"/>
  <c r="F15" i="107"/>
  <c r="F73" i="106"/>
  <c r="F68" i="106"/>
  <c r="F66" i="106"/>
  <c r="F56" i="106"/>
  <c r="F51" i="106"/>
  <c r="F48" i="106"/>
  <c r="F45" i="106"/>
  <c r="F32" i="106"/>
  <c r="F23" i="106"/>
  <c r="F15" i="106"/>
  <c r="F61" i="105"/>
  <c r="F56" i="105"/>
  <c r="F48" i="105"/>
  <c r="F46" i="105"/>
  <c r="F41" i="105"/>
  <c r="F38" i="105"/>
  <c r="F35" i="105"/>
  <c r="F24" i="105"/>
  <c r="F15" i="105"/>
  <c r="F63" i="104"/>
  <c r="F58" i="104"/>
  <c r="F50" i="104"/>
  <c r="F47" i="104"/>
  <c r="F42" i="104"/>
  <c r="F39" i="104"/>
  <c r="F36" i="104"/>
  <c r="F24" i="104"/>
  <c r="F15" i="104"/>
  <c r="F51" i="96"/>
  <c r="F50" i="96"/>
  <c r="F46" i="96"/>
  <c r="F40" i="96"/>
  <c r="F35" i="96"/>
  <c r="F32" i="96"/>
  <c r="F29" i="96"/>
  <c r="F21" i="96"/>
  <c r="F14" i="96"/>
  <c r="F54" i="102"/>
  <c r="F50" i="102"/>
  <c r="F48" i="102"/>
  <c r="F46" i="102"/>
  <c r="F38" i="102"/>
  <c r="F32" i="102"/>
  <c r="F29" i="102"/>
  <c r="F20" i="102"/>
  <c r="F13" i="102"/>
  <c r="F49" i="93"/>
  <c r="F45" i="93"/>
  <c r="F38" i="93"/>
  <c r="F33" i="93"/>
  <c r="F30" i="93"/>
  <c r="F27" i="93"/>
  <c r="F21" i="93"/>
  <c r="F14" i="93"/>
  <c r="F55" i="92"/>
  <c r="F51" i="92"/>
  <c r="F40" i="92"/>
  <c r="F35" i="92"/>
  <c r="F30" i="92"/>
  <c r="F27" i="92"/>
  <c r="F21" i="92"/>
  <c r="F14" i="92"/>
  <c r="F63" i="91"/>
  <c r="F59" i="91"/>
  <c r="F57" i="91"/>
  <c r="F51" i="91"/>
  <c r="F46" i="91"/>
  <c r="F43" i="91"/>
  <c r="F40" i="91"/>
  <c r="F29" i="91"/>
  <c r="F22" i="91"/>
  <c r="F14" i="91"/>
  <c r="F63" i="90"/>
  <c r="F59" i="90"/>
  <c r="F57" i="90"/>
  <c r="F51" i="90"/>
  <c r="F45" i="90"/>
  <c r="F40" i="90"/>
  <c r="F37" i="90"/>
  <c r="F27" i="90"/>
  <c r="F20" i="90"/>
  <c r="F13" i="90"/>
  <c r="F49" i="89"/>
  <c r="F45" i="89"/>
  <c r="F38" i="89"/>
  <c r="F33" i="89"/>
  <c r="F30" i="89"/>
  <c r="F27" i="89"/>
  <c r="F21" i="89"/>
  <c r="F14" i="89"/>
  <c r="F63" i="88"/>
  <c r="F59" i="88"/>
  <c r="F57" i="88"/>
  <c r="F51" i="88"/>
  <c r="F46" i="88"/>
  <c r="F43" i="88"/>
  <c r="F40" i="88"/>
  <c r="F29" i="88"/>
  <c r="F22" i="88"/>
  <c r="F14" i="88"/>
  <c r="F43" i="69"/>
  <c r="F38" i="69"/>
  <c r="F32" i="69"/>
  <c r="F29" i="69"/>
  <c r="F21" i="69"/>
  <c r="F14" i="69"/>
  <c r="F64" i="68"/>
  <c r="F60" i="68"/>
  <c r="F58" i="68"/>
  <c r="F51" i="68"/>
  <c r="F46" i="68"/>
  <c r="F43" i="68"/>
  <c r="F40" i="68"/>
  <c r="F29" i="68"/>
  <c r="F22" i="68"/>
  <c r="F14" i="68"/>
  <c r="F70" i="67"/>
  <c r="F66" i="67"/>
  <c r="F64" i="67"/>
  <c r="F53" i="67"/>
  <c r="F48" i="67"/>
  <c r="F45" i="67"/>
  <c r="F42" i="67"/>
  <c r="F30" i="67"/>
  <c r="F22" i="67"/>
  <c r="F14" i="67"/>
  <c r="F57" i="65"/>
  <c r="F53" i="65"/>
  <c r="F51" i="65"/>
  <c r="F41" i="65"/>
  <c r="F36" i="65"/>
  <c r="F33" i="65"/>
  <c r="F30" i="65"/>
  <c r="F21" i="65"/>
  <c r="F14" i="65"/>
  <c r="F51" i="64"/>
  <c r="F47" i="64"/>
  <c r="F45" i="64"/>
  <c r="F39" i="64"/>
  <c r="F34" i="64"/>
  <c r="F32" i="64"/>
  <c r="F29" i="64"/>
  <c r="F21" i="64"/>
  <c r="F14" i="64"/>
  <c r="F63" i="63"/>
  <c r="F59" i="63"/>
  <c r="F57" i="63"/>
  <c r="F51" i="63"/>
  <c r="F46" i="63"/>
  <c r="F43" i="63"/>
  <c r="F40" i="63"/>
  <c r="F29" i="63"/>
  <c r="F22" i="63"/>
  <c r="F14" i="63"/>
  <c r="F67" i="62"/>
  <c r="F63" i="62"/>
  <c r="F61" i="62"/>
  <c r="F51" i="62"/>
  <c r="F46" i="62"/>
  <c r="F43" i="62"/>
  <c r="F40" i="62"/>
  <c r="F29" i="62"/>
  <c r="F22" i="62"/>
  <c r="F14" i="62"/>
  <c r="F62" i="61"/>
  <c r="F58" i="61"/>
  <c r="F49" i="61"/>
  <c r="F44" i="61"/>
  <c r="F42" i="61"/>
  <c r="F39" i="61"/>
  <c r="F29" i="61"/>
  <c r="F22" i="61"/>
  <c r="F14" i="61"/>
  <c r="F52" i="60"/>
  <c r="F48" i="60"/>
  <c r="F38" i="60"/>
  <c r="F33" i="60"/>
  <c r="F30" i="60"/>
  <c r="F27" i="60"/>
  <c r="F21" i="60"/>
  <c r="F14" i="60"/>
  <c r="F70" i="59"/>
  <c r="F66" i="59"/>
  <c r="F64" i="59"/>
  <c r="F53" i="59"/>
  <c r="F48" i="59"/>
  <c r="F45" i="59"/>
  <c r="F42" i="59"/>
  <c r="F30" i="59"/>
  <c r="F22" i="59"/>
  <c r="F14" i="59"/>
  <c r="F70" i="58"/>
  <c r="F69" i="58"/>
  <c r="F65" i="58"/>
  <c r="F63" i="58"/>
  <c r="F55" i="58"/>
  <c r="F50" i="58"/>
  <c r="F45" i="58"/>
  <c r="F42" i="58"/>
  <c r="F30" i="58"/>
  <c r="F22" i="58"/>
  <c r="F14" i="58"/>
  <c r="F58" i="57"/>
  <c r="F54" i="57"/>
  <c r="F52" i="57"/>
  <c r="F41" i="57"/>
  <c r="F36" i="57"/>
  <c r="F34" i="57"/>
  <c r="F31" i="57"/>
  <c r="F22" i="57"/>
  <c r="F14" i="57"/>
  <c r="F24" i="49"/>
  <c r="F14" i="49"/>
  <c r="F11" i="48"/>
  <c r="F24" i="37"/>
  <c r="F14" i="37"/>
  <c r="F77" i="42"/>
  <c r="F54" i="42"/>
  <c r="F29" i="42"/>
  <c r="F22" i="42"/>
  <c r="F14" i="42"/>
  <c r="F63" i="41"/>
  <c r="F59" i="41"/>
  <c r="F55" i="41"/>
  <c r="F53" i="41"/>
  <c r="F48" i="41"/>
  <c r="F43" i="41"/>
  <c r="F39" i="41"/>
  <c r="F36" i="41"/>
  <c r="F29" i="41"/>
  <c r="F22" i="41"/>
  <c r="F14" i="41"/>
  <c r="F70" i="66"/>
  <c r="F66" i="66"/>
  <c r="F63" i="66"/>
  <c r="F55" i="66"/>
  <c r="F50" i="66"/>
  <c r="F46" i="66"/>
  <c r="F43" i="66"/>
  <c r="F31" i="66"/>
  <c r="F22" i="66"/>
  <c r="F14" i="66"/>
  <c r="F74" i="40"/>
  <c r="F70" i="40"/>
  <c r="F67" i="40"/>
  <c r="F60" i="40"/>
  <c r="F55" i="40"/>
  <c r="F51" i="40"/>
  <c r="F47" i="40"/>
  <c r="F44" i="40"/>
  <c r="F31" i="40"/>
  <c r="F22" i="40"/>
  <c r="F14" i="40"/>
  <c r="F58" i="36"/>
  <c r="F53" i="36"/>
  <c r="F47" i="36"/>
  <c r="F44" i="36"/>
  <c r="F36" i="36"/>
  <c r="F27" i="36"/>
  <c r="F19" i="36"/>
  <c r="F12" i="36"/>
  <c r="F43" i="35"/>
  <c r="F40" i="35"/>
  <c r="F32" i="35"/>
  <c r="F29" i="35"/>
  <c r="F21" i="35"/>
  <c r="F14" i="35"/>
  <c r="F53" i="34"/>
  <c r="F48" i="34"/>
  <c r="F46" i="34"/>
  <c r="F41" i="34"/>
  <c r="F29" i="34"/>
  <c r="F22" i="34"/>
  <c r="F14" i="34"/>
  <c r="F59" i="33"/>
  <c r="F55" i="33"/>
  <c r="F53" i="33"/>
  <c r="F50" i="33"/>
  <c r="F39" i="33"/>
  <c r="F31" i="33"/>
  <c r="F22" i="33"/>
  <c r="F14" i="33"/>
  <c r="F52" i="32"/>
  <c r="F48" i="32"/>
  <c r="F46" i="32"/>
  <c r="F22" i="32"/>
  <c r="F14" i="32"/>
  <c r="F44" i="31"/>
  <c r="F39" i="31"/>
  <c r="F32" i="31"/>
  <c r="F29" i="31"/>
  <c r="F21" i="31"/>
  <c r="F14" i="31"/>
  <c r="F44" i="30"/>
  <c r="F32" i="30"/>
  <c r="F29" i="30"/>
  <c r="F21" i="30"/>
  <c r="F14" i="30"/>
  <c r="F59" i="29"/>
  <c r="F54" i="29"/>
  <c r="F48" i="29"/>
  <c r="F45" i="29"/>
  <c r="F27" i="29"/>
  <c r="F19" i="29"/>
  <c r="F12" i="29"/>
  <c r="F45" i="28"/>
  <c r="F41" i="28"/>
  <c r="F33" i="28"/>
  <c r="F21" i="28"/>
  <c r="F14" i="28"/>
  <c r="F50" i="27"/>
  <c r="F47" i="27"/>
  <c r="F33" i="27"/>
  <c r="F30" i="27"/>
  <c r="F21" i="27"/>
  <c r="F14" i="27"/>
  <c r="F44" i="26"/>
  <c r="F41" i="26"/>
  <c r="F33" i="26"/>
  <c r="F30" i="26"/>
  <c r="F21" i="26"/>
  <c r="F14" i="26"/>
  <c r="F53" i="25"/>
  <c r="F49" i="25"/>
  <c r="F46" i="25"/>
  <c r="F39" i="25"/>
  <c r="F34" i="25"/>
  <c r="F31" i="25"/>
  <c r="F22" i="25"/>
  <c r="F14" i="25"/>
  <c r="F54" i="23"/>
  <c r="F50" i="23"/>
  <c r="F48" i="23"/>
  <c r="F46" i="23"/>
  <c r="F39" i="23"/>
  <c r="F34" i="23"/>
  <c r="F31" i="23"/>
  <c r="F22" i="23"/>
  <c r="F14" i="23"/>
  <c r="F51" i="22"/>
  <c r="F47" i="22"/>
  <c r="F45" i="22"/>
  <c r="F43" i="22"/>
  <c r="F37" i="22"/>
  <c r="F32" i="22"/>
  <c r="F29" i="22"/>
  <c r="F21" i="22"/>
  <c r="F14" i="22"/>
  <c r="F56" i="47"/>
  <c r="F52" i="47"/>
  <c r="F49" i="47"/>
  <c r="F47" i="47"/>
  <c r="F39" i="47"/>
  <c r="F34" i="47"/>
  <c r="F31" i="47"/>
  <c r="F22" i="47"/>
  <c r="F14" i="47"/>
  <c r="F53" i="46"/>
  <c r="F49" i="46"/>
  <c r="F47" i="46"/>
  <c r="F45" i="46"/>
  <c r="F39" i="46"/>
  <c r="F34" i="46"/>
  <c r="F31" i="46"/>
  <c r="F22" i="46"/>
  <c r="F14" i="46"/>
  <c r="F54" i="21"/>
  <c r="F50" i="21"/>
  <c r="F48" i="21"/>
  <c r="F41" i="21"/>
  <c r="F36" i="21"/>
  <c r="F34" i="21"/>
  <c r="F31" i="21"/>
  <c r="F22" i="21"/>
  <c r="F14" i="21"/>
  <c r="F55" i="45"/>
  <c r="F51" i="45"/>
  <c r="F45" i="45"/>
  <c r="F40" i="45"/>
  <c r="F37" i="45"/>
  <c r="F34" i="45"/>
  <c r="F29" i="45"/>
  <c r="F21" i="45"/>
  <c r="F14" i="45"/>
  <c r="F49" i="44"/>
  <c r="F45" i="44"/>
  <c r="F39" i="44"/>
  <c r="F34" i="44"/>
  <c r="F32" i="44"/>
  <c r="F29" i="44"/>
  <c r="F21" i="44"/>
  <c r="F14" i="44"/>
  <c r="F49" i="20"/>
  <c r="F45" i="20"/>
  <c r="F39" i="20"/>
  <c r="F34" i="20"/>
  <c r="F32" i="20"/>
  <c r="F29" i="20"/>
  <c r="F21" i="20"/>
  <c r="F14" i="20"/>
  <c r="F49" i="19"/>
  <c r="F45" i="19"/>
  <c r="F43" i="19"/>
  <c r="F41" i="19"/>
  <c r="F36" i="19"/>
  <c r="F31" i="19"/>
  <c r="F28" i="19"/>
  <c r="F20" i="19"/>
  <c r="F13" i="19"/>
  <c r="F46" i="18"/>
  <c r="F44" i="18"/>
  <c r="F42" i="18"/>
  <c r="F36" i="18"/>
  <c r="F31" i="18"/>
  <c r="F28" i="18"/>
  <c r="F20" i="18"/>
  <c r="F13" i="18"/>
  <c r="G18" i="8"/>
  <c r="F18" i="8"/>
  <c r="F67" i="101"/>
  <c r="F63" i="101"/>
  <c r="F61" i="101"/>
  <c r="F53" i="101"/>
  <c r="F48" i="101"/>
  <c r="F45" i="101"/>
  <c r="F42" i="101"/>
  <c r="F30" i="101"/>
  <c r="F22" i="101"/>
  <c r="F14" i="101"/>
  <c r="F63" i="6"/>
  <c r="F59" i="6"/>
  <c r="F57" i="6"/>
  <c r="F51" i="6"/>
  <c r="F46" i="6"/>
  <c r="F43" i="6"/>
  <c r="F40" i="6"/>
  <c r="F29" i="6"/>
  <c r="F22" i="6"/>
  <c r="F14" i="6"/>
  <c r="F60" i="100"/>
  <c r="F56" i="100"/>
  <c r="F49" i="100"/>
  <c r="F44" i="100"/>
  <c r="F42" i="100"/>
  <c r="F29" i="100"/>
  <c r="F22" i="100"/>
  <c r="F14" i="100"/>
  <c r="F58" i="38"/>
  <c r="F49" i="38"/>
  <c r="F44" i="38"/>
  <c r="F42" i="38"/>
  <c r="F39" i="38"/>
  <c r="F29" i="38"/>
  <c r="F22" i="38"/>
  <c r="F14" i="38"/>
  <c r="F57" i="50"/>
  <c r="F48" i="50"/>
  <c r="F43" i="50"/>
  <c r="F40" i="50"/>
  <c r="F37" i="50"/>
  <c r="F28" i="50"/>
  <c r="F21" i="50"/>
  <c r="F13" i="50"/>
  <c r="F57" i="99"/>
  <c r="F53" i="99"/>
  <c r="F51" i="99"/>
  <c r="F43" i="99"/>
  <c r="F38" i="99"/>
  <c r="F35" i="99"/>
  <c r="F32" i="99"/>
  <c r="F22" i="99"/>
  <c r="F14" i="99"/>
  <c r="F55" i="103"/>
  <c r="F51" i="103"/>
  <c r="F49" i="103"/>
  <c r="F42" i="103"/>
  <c r="F37" i="103"/>
  <c r="F35" i="103"/>
  <c r="F32" i="103"/>
  <c r="F22" i="103"/>
  <c r="F14" i="103"/>
  <c r="F53" i="12"/>
  <c r="F49" i="12"/>
  <c r="F47" i="12"/>
  <c r="F41" i="12"/>
  <c r="F36" i="12"/>
  <c r="F33" i="12"/>
  <c r="F30" i="12"/>
  <c r="F21" i="12"/>
  <c r="F14" i="12"/>
  <c r="F52" i="3"/>
  <c r="F48" i="3"/>
  <c r="F46" i="3"/>
  <c r="F40" i="3"/>
  <c r="F35" i="3"/>
  <c r="F33" i="3"/>
  <c r="F30" i="3"/>
  <c r="F21" i="3"/>
  <c r="F14" i="3"/>
  <c r="F53" i="16"/>
  <c r="F49" i="16"/>
  <c r="F47" i="16"/>
  <c r="F41" i="16"/>
  <c r="F36" i="16"/>
  <c r="F34" i="16"/>
  <c r="F31" i="16"/>
  <c r="F21" i="16"/>
  <c r="F14" i="16"/>
  <c r="F49" i="15"/>
  <c r="F45" i="15"/>
  <c r="F39" i="15"/>
  <c r="F34" i="15"/>
  <c r="F32" i="15"/>
  <c r="F29" i="15"/>
  <c r="F21" i="15"/>
  <c r="F14" i="15"/>
  <c r="F48" i="14"/>
  <c r="F42" i="14"/>
  <c r="F37" i="14"/>
  <c r="F34" i="14"/>
  <c r="F30" i="14"/>
  <c r="F27" i="14"/>
  <c r="F21" i="14"/>
  <c r="F14" i="14"/>
  <c r="F54" i="98"/>
  <c r="F50" i="98"/>
  <c r="F42" i="98"/>
  <c r="F37" i="98"/>
  <c r="F35" i="98"/>
  <c r="F32" i="98"/>
  <c r="F21" i="98"/>
  <c r="F14" i="98"/>
  <c r="F52" i="11"/>
  <c r="F48" i="11"/>
  <c r="F46" i="11"/>
  <c r="F40" i="11"/>
  <c r="F35" i="11"/>
  <c r="F32" i="11"/>
  <c r="F29" i="11"/>
  <c r="F20" i="11"/>
  <c r="F13" i="11"/>
  <c r="F51" i="10"/>
  <c r="F47" i="10"/>
  <c r="F45" i="10"/>
  <c r="F43" i="10"/>
  <c r="F37" i="10"/>
  <c r="F32" i="10"/>
  <c r="F29" i="10"/>
  <c r="F20" i="10"/>
  <c r="F13" i="10"/>
  <c r="F53" i="50"/>
  <c r="F51" i="42"/>
  <c r="F54" i="38"/>
  <c r="F39" i="100"/>
  <c r="F38" i="34"/>
  <c r="F44" i="42"/>
  <c r="F39" i="30"/>
</calcChain>
</file>

<file path=xl/sharedStrings.xml><?xml version="1.0" encoding="utf-8"?>
<sst xmlns="http://schemas.openxmlformats.org/spreadsheetml/2006/main" count="16522" uniqueCount="1093">
  <si>
    <t>易亨公司 合金钢组合辙叉 / 心轨 / 镶块 计件工价 目录表-00</t>
  </si>
  <si>
    <t>编号</t>
  </si>
  <si>
    <t>类别</t>
  </si>
  <si>
    <t>名称</t>
  </si>
  <si>
    <t>规格            型号</t>
  </si>
  <si>
    <t>图  号</t>
  </si>
  <si>
    <t>单位</t>
  </si>
  <si>
    <t>工价  元</t>
  </si>
  <si>
    <t>技术要求</t>
  </si>
  <si>
    <t>编制人</t>
  </si>
  <si>
    <t>编制时间</t>
  </si>
  <si>
    <t>备注</t>
  </si>
  <si>
    <t>01</t>
  </si>
  <si>
    <t>合金钢辙叉</t>
  </si>
  <si>
    <t>50-9</t>
  </si>
  <si>
    <t>CZ2209-I</t>
  </si>
  <si>
    <t>组</t>
  </si>
  <si>
    <t>统 型</t>
  </si>
  <si>
    <t>刘磅礴</t>
  </si>
  <si>
    <t>02</t>
  </si>
  <si>
    <t>50-12</t>
  </si>
  <si>
    <t>专线4257-I</t>
  </si>
  <si>
    <t>03</t>
  </si>
  <si>
    <t>60-9</t>
  </si>
  <si>
    <t>CZ577-I</t>
  </si>
  <si>
    <t>李于刚</t>
  </si>
  <si>
    <t>04</t>
  </si>
  <si>
    <t>CZ577</t>
  </si>
  <si>
    <t>平垫圈</t>
  </si>
  <si>
    <t>05</t>
  </si>
  <si>
    <t>XJX 21</t>
  </si>
  <si>
    <t>06</t>
  </si>
  <si>
    <t>60-12</t>
  </si>
  <si>
    <t>XJX 20</t>
  </si>
  <si>
    <t>07</t>
  </si>
  <si>
    <t>SC330</t>
  </si>
  <si>
    <t>专线4228</t>
  </si>
  <si>
    <t>08</t>
  </si>
  <si>
    <t>SC330-I</t>
  </si>
  <si>
    <t>专线4228-I</t>
  </si>
  <si>
    <t>09</t>
  </si>
  <si>
    <t>专线4249</t>
  </si>
  <si>
    <t>10</t>
  </si>
  <si>
    <t>专线4249-I</t>
  </si>
  <si>
    <t>11</t>
  </si>
  <si>
    <t>镶嵌式</t>
  </si>
  <si>
    <t>CZ2209-Ⅳ</t>
  </si>
  <si>
    <t>12</t>
  </si>
  <si>
    <t>CZ577-Ⅳ</t>
  </si>
  <si>
    <t>13</t>
  </si>
  <si>
    <t>铁联线 051-Ⅳ</t>
  </si>
  <si>
    <t>14</t>
  </si>
  <si>
    <t>SC330-Ⅳ</t>
  </si>
  <si>
    <t>15</t>
  </si>
  <si>
    <t>专线4249-Ⅳ</t>
  </si>
  <si>
    <t>16</t>
  </si>
  <si>
    <t>精加工心轨</t>
  </si>
  <si>
    <t>CHG ZH700-3</t>
  </si>
  <si>
    <t>成都工务公司</t>
  </si>
  <si>
    <t>CTG ZH1000-04</t>
  </si>
  <si>
    <t>17</t>
  </si>
  <si>
    <t>50-7</t>
  </si>
  <si>
    <t>专线9931</t>
  </si>
  <si>
    <t>成都地铁  自制    间隔铁</t>
  </si>
  <si>
    <t>18</t>
  </si>
  <si>
    <t>CDDT7(Ⅱ)-01</t>
  </si>
  <si>
    <t>19</t>
  </si>
  <si>
    <t>专线4196</t>
  </si>
  <si>
    <t>地铁</t>
  </si>
  <si>
    <t>20</t>
  </si>
  <si>
    <t>成都地铁 5.5m交渡</t>
  </si>
  <si>
    <t>21</t>
  </si>
  <si>
    <t>CDGD8(II)-02</t>
  </si>
  <si>
    <t>成都地铁 5m交渡</t>
  </si>
  <si>
    <t>22</t>
  </si>
  <si>
    <t>CDDT(19)-01</t>
  </si>
  <si>
    <t>成都地铁</t>
  </si>
  <si>
    <t>23</t>
  </si>
  <si>
    <t>TSY80-08</t>
  </si>
  <si>
    <t>武汉地铁</t>
  </si>
  <si>
    <t>24</t>
  </si>
  <si>
    <t>TSY21-08</t>
  </si>
  <si>
    <t>25</t>
  </si>
  <si>
    <t>SC330G</t>
  </si>
  <si>
    <t>改进型</t>
  </si>
  <si>
    <t>专线4228G</t>
  </si>
  <si>
    <t>26</t>
  </si>
  <si>
    <t>专线4249G</t>
  </si>
  <si>
    <t>27</t>
  </si>
  <si>
    <t>铁联线051</t>
  </si>
  <si>
    <t>提速道岔</t>
  </si>
  <si>
    <t>28</t>
  </si>
  <si>
    <t>专线9761-Ⅱ-400</t>
  </si>
  <si>
    <t>太原地铁               单开</t>
  </si>
  <si>
    <t>29</t>
  </si>
  <si>
    <t>专线9761-Ⅲ-300</t>
  </si>
  <si>
    <t>太原地铁 A/B型</t>
  </si>
  <si>
    <t>30</t>
  </si>
  <si>
    <t>60-4.5</t>
  </si>
  <si>
    <t>专线9761-Ⅲ-400</t>
  </si>
  <si>
    <t>太原地铁    锐角</t>
  </si>
  <si>
    <t>31</t>
  </si>
  <si>
    <t>专线9761-Ⅲ-500</t>
  </si>
  <si>
    <t>太原地铁             钝角</t>
  </si>
  <si>
    <t>32</t>
  </si>
  <si>
    <t>C6D813</t>
  </si>
  <si>
    <t>成资线                单开</t>
  </si>
  <si>
    <t>33</t>
  </si>
  <si>
    <t>C6JA94</t>
  </si>
  <si>
    <t>成资线                A/B型</t>
  </si>
  <si>
    <t>34</t>
  </si>
  <si>
    <t>ZYX-01</t>
  </si>
  <si>
    <t>成资线               单开</t>
  </si>
  <si>
    <t>35</t>
  </si>
  <si>
    <t>ZYX-02</t>
  </si>
  <si>
    <t>成资线               A/B型</t>
  </si>
  <si>
    <t>36</t>
  </si>
  <si>
    <t>专线9775-I-300</t>
  </si>
  <si>
    <t>北京地铁              单开</t>
  </si>
  <si>
    <t>37</t>
  </si>
  <si>
    <t>60-6</t>
  </si>
  <si>
    <t>专线9775-Ⅱ-400</t>
  </si>
  <si>
    <t>北京地铁             锐角</t>
  </si>
  <si>
    <t>38</t>
  </si>
  <si>
    <t>专线9775-Ⅱ-500</t>
  </si>
  <si>
    <t>北京地铁             钝角</t>
  </si>
  <si>
    <t>39</t>
  </si>
  <si>
    <t>60-18</t>
  </si>
  <si>
    <t>GLC(09)-05-IV</t>
  </si>
  <si>
    <t>40</t>
  </si>
  <si>
    <t>研线1302-IV</t>
  </si>
  <si>
    <t>自制            间隔铁</t>
  </si>
  <si>
    <t>41</t>
  </si>
  <si>
    <t>50-4.5</t>
  </si>
  <si>
    <t>CB2215-IV</t>
  </si>
  <si>
    <t>锐角</t>
  </si>
  <si>
    <t>42</t>
  </si>
  <si>
    <t>CB2216-IV</t>
  </si>
  <si>
    <t>钝角</t>
  </si>
  <si>
    <t>43</t>
  </si>
  <si>
    <t>外发心轨</t>
  </si>
  <si>
    <t>研线1302</t>
  </si>
  <si>
    <t>根</t>
  </si>
  <si>
    <t>铁科轨道</t>
  </si>
  <si>
    <t>外发镶块</t>
  </si>
  <si>
    <t>44</t>
  </si>
  <si>
    <t>研线1316</t>
  </si>
  <si>
    <t>45</t>
  </si>
  <si>
    <t>CZ2545</t>
  </si>
  <si>
    <t>46</t>
  </si>
  <si>
    <t>其它项目</t>
  </si>
  <si>
    <t>杂项工序</t>
  </si>
  <si>
    <t>47</t>
  </si>
  <si>
    <t>专线7623</t>
  </si>
  <si>
    <t>48</t>
  </si>
  <si>
    <t>研线1115</t>
  </si>
  <si>
    <t>49</t>
  </si>
  <si>
    <t>专线7623-IV</t>
  </si>
  <si>
    <t>50</t>
  </si>
  <si>
    <t>CZ580</t>
  </si>
  <si>
    <t>51</t>
  </si>
  <si>
    <t>CZ580-IV</t>
  </si>
  <si>
    <t>52</t>
  </si>
  <si>
    <t>SC340-IV</t>
  </si>
  <si>
    <t>53</t>
  </si>
  <si>
    <t>SC350-IV</t>
  </si>
  <si>
    <t>54</t>
  </si>
  <si>
    <t>SC350G</t>
  </si>
  <si>
    <t>55</t>
  </si>
  <si>
    <t>SC340</t>
  </si>
  <si>
    <t>56</t>
  </si>
  <si>
    <t>铁联线021-IV</t>
  </si>
  <si>
    <t>57</t>
  </si>
  <si>
    <t>XJX20-IV</t>
  </si>
  <si>
    <t>58</t>
  </si>
  <si>
    <t>C6JJ11</t>
  </si>
  <si>
    <t>59</t>
  </si>
  <si>
    <t xml:space="preserve">专线4228-IV </t>
  </si>
  <si>
    <t>60</t>
  </si>
  <si>
    <t>CZ2504</t>
  </si>
  <si>
    <t>61</t>
  </si>
  <si>
    <t>专线4257-IV</t>
  </si>
  <si>
    <t>62</t>
  </si>
  <si>
    <t>SC330-IV</t>
  </si>
  <si>
    <t>63</t>
  </si>
  <si>
    <t>64</t>
  </si>
  <si>
    <t>65</t>
  </si>
  <si>
    <t>66</t>
  </si>
  <si>
    <t>专线4204</t>
  </si>
  <si>
    <t>67</t>
  </si>
  <si>
    <t>研线16121HC-I</t>
  </si>
  <si>
    <t>68</t>
  </si>
  <si>
    <t>研线1609HC-I</t>
  </si>
  <si>
    <t>69</t>
  </si>
  <si>
    <t>研线16121HC-IV</t>
  </si>
  <si>
    <t>70</t>
  </si>
  <si>
    <t>研线1609HC-IV</t>
  </si>
  <si>
    <t>71</t>
  </si>
  <si>
    <t>CZ2545HC-IV</t>
  </si>
  <si>
    <t>72</t>
  </si>
  <si>
    <t>补漏项</t>
  </si>
  <si>
    <t>易亨公司 合金钢组合辙叉 计件工价 明细表-01</t>
  </si>
  <si>
    <t>型号：50kg/m钢轨9号   图号：CZ2209-I    金额：854元/组</t>
  </si>
  <si>
    <t>序号</t>
  </si>
  <si>
    <t>型号</t>
  </si>
  <si>
    <t>图号</t>
  </si>
  <si>
    <t>部件名称</t>
  </si>
  <si>
    <t>工序名称</t>
  </si>
  <si>
    <t>单价</t>
  </si>
  <si>
    <t>心轨</t>
  </si>
  <si>
    <t>铣心轨基础（含倒角）</t>
  </si>
  <si>
    <t>铣心轨高度（含倒角）</t>
  </si>
  <si>
    <t>铣心轨大平面（含倒角）</t>
  </si>
  <si>
    <t>铣心轨中部平面（含倒角）</t>
  </si>
  <si>
    <t>铣心轨尾部平面（含倒角）</t>
  </si>
  <si>
    <t>铣心轨两侧R16/R50（含倒角）</t>
  </si>
  <si>
    <t>心轨钻孔（含倒角）</t>
  </si>
  <si>
    <t>心轨上下鄂数控铣削（含倒角）</t>
  </si>
  <si>
    <t>心轨锯轨头（2头，含倒角）</t>
  </si>
  <si>
    <t>小计</t>
  </si>
  <si>
    <t>心轨加工费小计</t>
  </si>
  <si>
    <t>叉跟轨</t>
  </si>
  <si>
    <t>叉跟轨下料（2根，车间外，含倒角）</t>
  </si>
  <si>
    <t>叉跟轨钻孔（2根，含倒角）</t>
  </si>
  <si>
    <t>叉跟轨弯折（2根）</t>
  </si>
  <si>
    <t>叉跟轨轨底锯切（2根，含倒角）</t>
  </si>
  <si>
    <t>叉跟轨轨底、轨头铣切（2根，含倒角）</t>
  </si>
  <si>
    <t>叉跟轨轨腰铣切（2根，含倒角）</t>
  </si>
  <si>
    <t>叉跟轨加工费小计</t>
  </si>
  <si>
    <t>翼轨</t>
  </si>
  <si>
    <t>翼轨下料（2根，车间外，含倒角）</t>
  </si>
  <si>
    <t>翼轨钻孔（2根，含倒角）</t>
  </si>
  <si>
    <t>翼轨弯折（2根）</t>
  </si>
  <si>
    <t>翼轨内侧轨底锯切（2根，含倒角）</t>
  </si>
  <si>
    <t>翼轨外侧轨底铣切（2根，含倒角）</t>
  </si>
  <si>
    <t>翼轨轨底弹条槽铣切（2根,含倒角）</t>
  </si>
  <si>
    <t>翼轨镗大孔（3孔，含倒角）</t>
  </si>
  <si>
    <t>翼轨轨头斜头铣切（2根，含倒角）</t>
  </si>
  <si>
    <t>翼轨加工费小计</t>
  </si>
  <si>
    <t>组合心轨</t>
  </si>
  <si>
    <t>组合心轨组装（含调校、心轨轨件打磨）</t>
  </si>
  <si>
    <t>组合心轨铣削粗精加工（含刀痕抛光、倒角)</t>
  </si>
  <si>
    <t>组合心轨加工费小计</t>
  </si>
  <si>
    <t>钢轨垫圈</t>
  </si>
  <si>
    <t>钢轨垫圈下料（22个*0.3，含倒角）</t>
  </si>
  <si>
    <t>钢轨垫圈钻孔（22个*0.3，含倒角）</t>
  </si>
  <si>
    <t>钢轨垫圈铣削（22个*0.66，含倒角）</t>
  </si>
  <si>
    <t>钢轨垫圈锯切（4个*0.5，含倒角）</t>
  </si>
  <si>
    <t>钢轨垫圈加工费用小计</t>
  </si>
  <si>
    <t>辙叉垫板</t>
  </si>
  <si>
    <t>辙叉垫板下料（5张*1，含倒角）</t>
  </si>
  <si>
    <t>辙叉垫板钻孔（7张*1，含倒角）</t>
  </si>
  <si>
    <t>辙叉垫板焊接（7张*4.5，含焊渣清理）</t>
  </si>
  <si>
    <t>辙叉垫板校直（7张*1）</t>
  </si>
  <si>
    <t>垫板承台板下料（6*0.5）</t>
  </si>
  <si>
    <t>辙叉垫板加工费用小计</t>
  </si>
  <si>
    <t>支距扣板</t>
  </si>
  <si>
    <t>接头支距扣板铣削（含倒角）</t>
  </si>
  <si>
    <t>支距扣板加工费用小计</t>
  </si>
  <si>
    <t>间隔铁</t>
  </si>
  <si>
    <t>间隔铁铣削（含倒角）</t>
  </si>
  <si>
    <t>间隔铁加工费用小计</t>
  </si>
  <si>
    <t>辙叉组装</t>
  </si>
  <si>
    <t>辙叉组装（含轨件倒角修整）</t>
  </si>
  <si>
    <t>辙叉垫板组装</t>
  </si>
  <si>
    <t>辙叉调直线度、终紧、倒角、表面抛光</t>
  </si>
  <si>
    <t>辙叉组装费用小计</t>
  </si>
  <si>
    <t>合计</t>
  </si>
  <si>
    <t>整组50-9# CZ2209-I 辙叉加工费用</t>
  </si>
  <si>
    <t>编制： 刘磅礴                                                      日期：2023年4月11日</t>
  </si>
  <si>
    <t>易亨公司 合金钢组合辙叉 计件工价 明细表-02</t>
  </si>
  <si>
    <t>型号：50kg/m钢轨12号  图号：专线4257-I  金额：925元/组</t>
  </si>
  <si>
    <t>铣心轨中平面（含倒角）</t>
  </si>
  <si>
    <t>叉跟轨钻孔（含倒角）</t>
  </si>
  <si>
    <t xml:space="preserve"> </t>
  </si>
  <si>
    <t>翼轨镗大孔（4孔，含倒角）</t>
  </si>
  <si>
    <t>铁座铣削:4块*2.5（含倒角）</t>
  </si>
  <si>
    <t>钢轨垫圈下料（34个*0.3，含倒角）</t>
  </si>
  <si>
    <t>钢轨垫圈钻孔（34个*0.3，含倒角）</t>
  </si>
  <si>
    <t>钢轨垫圈铣削（26个*0.66，含倒角）</t>
  </si>
  <si>
    <t>钢轨垫圈锯切（34个*0.5，含倒角）</t>
  </si>
  <si>
    <t>辙叉垫板下料（10张*1，含倒角）</t>
  </si>
  <si>
    <t>辙叉垫板钻孔（10张*1，含倒角）</t>
  </si>
  <si>
    <t>辙叉垫板焊接（10张*4.5，含焊渣清理）</t>
  </si>
  <si>
    <t>辙叉垫板校直（10张*1）</t>
  </si>
  <si>
    <t>垫板承台板下料（10张*0.5）</t>
  </si>
  <si>
    <t>支距扣板铣削（含倒角）</t>
  </si>
  <si>
    <t>整组50-12# 专线4257-I 辙叉加工费用</t>
  </si>
  <si>
    <t>编制： 刘磅礴                                                       日期：2023年4月11日</t>
  </si>
  <si>
    <t>易亨公司 合金钢组合辙叉 计件工价 明细表-03</t>
  </si>
  <si>
    <t>型号：60kg/m钢轨9号     图号：CZ577-I    金额：923元/组</t>
  </si>
  <si>
    <t>CZ577-1</t>
  </si>
  <si>
    <t>心轨沉孔（含倒角）</t>
  </si>
  <si>
    <t>叉跟轨钻孔（20孔，含倒角）</t>
  </si>
  <si>
    <t>叉跟轨轨底、轨头铣切（2根，含倒角</t>
  </si>
  <si>
    <t>翼轨钻孔（含倒角）</t>
  </si>
  <si>
    <t>翼轨轨头斜头（缓冲段150mm）铣切（2根，含倒角）</t>
  </si>
  <si>
    <t>翼轨轨顶降低值6mm铣切（2根，含倒角）</t>
  </si>
  <si>
    <t>翼轨轨头斜头侧面铣切（2根，含倒角）</t>
  </si>
  <si>
    <t>间隔铁车削：15#、16#、17#、18#（4个*5）</t>
  </si>
  <si>
    <t>间隔铁加工费小计</t>
  </si>
  <si>
    <t>钢轨垫圈下料（24个*0.3，含倒角）</t>
  </si>
  <si>
    <t>钢轨垫圈钻孔（24个*0.3，含倒角）</t>
  </si>
  <si>
    <t>钢轨垫圈铣削（24个*0.66，含倒角）</t>
  </si>
  <si>
    <t>辙叉垫板下料（7张*1，含倒角）</t>
  </si>
  <si>
    <t>垫板承台板下料（6张*0.5）</t>
  </si>
  <si>
    <t>垫板斜面</t>
  </si>
  <si>
    <t>垫板中间凹槽</t>
  </si>
  <si>
    <t>整组 60-9#  CZ577-1 辙叉加工费用</t>
  </si>
  <si>
    <t>编制： 刘磅礴                 日期：2023年4月11日             修改日期：2024年12月3日</t>
  </si>
  <si>
    <t>易亨公司 合金钢组合辙叉 计件工价 明细表-04</t>
  </si>
  <si>
    <t>型号：60kg/m钢轨9号    图号：CZ577     金额：815元/组</t>
  </si>
  <si>
    <t>铣心轨两侧R16（含倒角）</t>
  </si>
  <si>
    <t>心轨上下鄂数控铣削</t>
  </si>
  <si>
    <t>叉跟轨弯折（2根，）</t>
  </si>
  <si>
    <t>翼轨轨底锯切（2根，含倒角）</t>
  </si>
  <si>
    <t>辙叉垫板组装（平垫圈）</t>
  </si>
  <si>
    <t>间隔铁车削：13#、14#、15#、16#（4个*2.5）</t>
  </si>
  <si>
    <t>铁座铣削:2块*2.5（含倒角）</t>
  </si>
  <si>
    <t>钢轨垫圈下料（20个*0.3，含倒角）</t>
  </si>
  <si>
    <t>钢轨垫圈钻孔（20个*0.3，含倒角）</t>
  </si>
  <si>
    <t>钢轨垫圈铣削（16个*0.66，含倒角）</t>
  </si>
  <si>
    <t>垫板承台板下料(4张*0.5)</t>
  </si>
  <si>
    <t>整组60-9# CZ577 辙叉加工费用</t>
  </si>
  <si>
    <t>易亨公司 合金钢组合辙叉 计件工价 明细表-05</t>
  </si>
  <si>
    <t>型号：60kg/m钢轨9号   图号：XJX21    金额：855元/组</t>
  </si>
  <si>
    <t>XJX21</t>
  </si>
  <si>
    <t>叉跟轨钻孔（22孔，含倒角）</t>
  </si>
  <si>
    <t>翼轨钻孔（26孔，含倒角）</t>
  </si>
  <si>
    <t>翼轨镗大孔（6孔，含倒角）</t>
  </si>
  <si>
    <t>翼轨轨底铣切（2根，含倒角）</t>
  </si>
  <si>
    <t>间隔铁车削13#、14#、15#、16#（4个*2.5）</t>
  </si>
  <si>
    <t>辙叉垫板下料（8张*1，含倒角）</t>
  </si>
  <si>
    <t>辙叉垫板钻孔（8张*1，含倒角）</t>
  </si>
  <si>
    <t>辙叉垫板焊接（8张*4.5，含焊渣清理）</t>
  </si>
  <si>
    <t>辙叉垫板校直（8张*1）</t>
  </si>
  <si>
    <t>垫板承台板下料(6张*0.5)</t>
  </si>
  <si>
    <t>整组60-9# XJX21 辙叉加工费用</t>
  </si>
  <si>
    <t>编制： 刘磅礴                                                          日期：2023年4月11日</t>
  </si>
  <si>
    <t>易亨公司 合金钢组合辙叉 计件工价 明细表-06</t>
  </si>
  <si>
    <t>型号：60kg/m钢轨12号   图号：XJX20   金额：934元/组</t>
  </si>
  <si>
    <t>XJX20</t>
  </si>
  <si>
    <t>叉跟轨轨底锯切（2根、含倒角））</t>
  </si>
  <si>
    <t>叉跟轨轨底、轨头铣切（2根、含倒角）</t>
  </si>
  <si>
    <t>叉跟轨腰铣切（2根、含倒角））</t>
  </si>
  <si>
    <t>翼轨镗大孔（含倒角）</t>
  </si>
  <si>
    <t>翼轨轨头工作边铣切（2根，含倒角）</t>
  </si>
  <si>
    <t>翼轨外侧轨底铣切（2根,含倒角）</t>
  </si>
  <si>
    <t>间隔铁车削16#、17#、18#、19#（4个*2.5）</t>
  </si>
  <si>
    <t>钢轨垫圈下料（28个*0.3，含倒角）</t>
  </si>
  <si>
    <t>钢轨垫圈钻孔（28个*0.3，含倒角）</t>
  </si>
  <si>
    <t>钢轨垫圈铣削（20个*0.66，含倒角）</t>
  </si>
  <si>
    <t>辙叉垫板下料（11张*1）</t>
  </si>
  <si>
    <t>辙叉垫板钻孔（13张*1）</t>
  </si>
  <si>
    <t>辙叉垫板焊接（13张*4.5）</t>
  </si>
  <si>
    <t>垫板校直（13张*1）</t>
  </si>
  <si>
    <t>整组60-12# XJX20 辙叉加工费用</t>
  </si>
  <si>
    <t>编制： 刘磅礴                                                     日期：2023年4月11日</t>
  </si>
  <si>
    <t>易亨公司 合金钢组合辙叉 计件工价 明细表-07</t>
  </si>
  <si>
    <t>型号：60kg/m钢轨12号  图号：SC330/专线4228  金额：898元/组</t>
  </si>
  <si>
    <t>SC330/专线4228</t>
  </si>
  <si>
    <t>叉跟轨轨底锯切（2根、含倒角）</t>
  </si>
  <si>
    <t>叉跟轨腰铣切（2根、含倒角）</t>
  </si>
  <si>
    <t>钢轨垫圈下料（26个*0.3，含倒角）</t>
  </si>
  <si>
    <t>钢轨垫圈钻孔（26个*0.3，含倒角）</t>
  </si>
  <si>
    <t>钢轨垫圈铣削（18个*0.66，含倒角）</t>
  </si>
  <si>
    <t>辙叉垫板下料（10张*1）</t>
  </si>
  <si>
    <t>辙叉垫板钻孔（10张*1）</t>
  </si>
  <si>
    <t>辙叉垫板焊接（10张*4.5）</t>
  </si>
  <si>
    <t>垫板校直（10张*1）</t>
  </si>
  <si>
    <t>整组60-12# SC330/专线4228 辙叉加工费用</t>
  </si>
  <si>
    <t>编制： 刘磅礴                                                         日期：2023年4月11日</t>
  </si>
  <si>
    <t>易亨公司 合金钢组合辙叉 计件工价 明细表-08</t>
  </si>
  <si>
    <t>型号：60kg/m钢轨12号  图号：SC330-I/专线4228-I  金额：930元/组</t>
  </si>
  <si>
    <t>SC330-I/专线4228-I</t>
  </si>
  <si>
    <t>翼轨镗大孔（2根，含倒角）</t>
  </si>
  <si>
    <t>间隔铁车削18#、19#、20#、21#（4个*5）</t>
  </si>
  <si>
    <t>整组60-12# SC330-I/专线4228-I辙叉加工费用</t>
  </si>
  <si>
    <t>易亨公司 合金钢组合辙叉 计件工价 明细表-09</t>
  </si>
  <si>
    <t>型号：60kg/m钢轨12号  图号：专线4249  金额：938元/组</t>
  </si>
  <si>
    <t>叉跟轨扭转（2根）</t>
  </si>
  <si>
    <t>翼轨内侧轨底锯切（2根、含倒角）</t>
  </si>
  <si>
    <t>翼轨轨头工作边铣切（2根、含倒角）</t>
  </si>
  <si>
    <t>翼轨轨底弹条槽铣切（2根、含倒角）</t>
  </si>
  <si>
    <t>翼轨外侧轨底铣切（2根、含倒角）</t>
  </si>
  <si>
    <t>翼轨扭转（2根，含校直）</t>
  </si>
  <si>
    <t>翼轨轨头斜头铣切（2根、含倒角）</t>
  </si>
  <si>
    <t>垫板铣削（2张*5）（含倒角）</t>
  </si>
  <si>
    <t>整组60-12# 专线4249 辙叉加工费用</t>
  </si>
  <si>
    <t>易亨公司 合金钢组合辙叉 计件工价 明细表-10</t>
  </si>
  <si>
    <t>型号：60kg/m钢轨12号  图号：专线4249-I  金额：1010元/组</t>
  </si>
  <si>
    <t>叉跟轨腰铣切（2根，含倒角）</t>
  </si>
  <si>
    <t>间隔铁费用小计</t>
  </si>
  <si>
    <t>趾端扭转垫板（1张*30）（含倒角）</t>
  </si>
  <si>
    <t>跟端扭转垫板（1张*20）（含倒角）</t>
  </si>
  <si>
    <t>整组60-12# 专线4249-I 辙叉加工费用</t>
  </si>
  <si>
    <t>编制： 刘磅礴                日期：2023年4月11日            修改日期：2024年12月3日</t>
  </si>
  <si>
    <t>易亨公司 合金钢组合辙叉 计件工价 明细表-11</t>
  </si>
  <si>
    <t>型号：50kg/m钢轨9号  图号：CZ2209 -Ⅳ  金额：2280元/组</t>
  </si>
  <si>
    <t>CZ2209-IV</t>
  </si>
  <si>
    <t>心轨锯轨头（含倒角）</t>
  </si>
  <si>
    <t>镶块</t>
  </si>
  <si>
    <t>铣镶块基础（2根）</t>
  </si>
  <si>
    <t>铣镶块高度（2根）</t>
  </si>
  <si>
    <t>铣镶块外型（2根，含倒角）</t>
  </si>
  <si>
    <t>镶块钻孔（2根，含倒角）</t>
  </si>
  <si>
    <t>镶块沉孔（2根，含倒角）</t>
  </si>
  <si>
    <t>镶块上下鄂数控铣削（2根，全部断面）</t>
  </si>
  <si>
    <t>镶块锯头（4头，含倒角）</t>
  </si>
  <si>
    <t>镶块加工费小计</t>
  </si>
  <si>
    <t>叉跟轨划线钻孔（2根，含倒角）</t>
  </si>
  <si>
    <t>翼轨划线钻孔（2根，含倒角）</t>
  </si>
  <si>
    <t>翼轨弯折（2根)</t>
  </si>
  <si>
    <t>翼轨轨底铣切（2根，非工作边，含倒角）</t>
  </si>
  <si>
    <t>翼轨轨底铣切（2根，工作边，含倒角）</t>
  </si>
  <si>
    <t>轨头轨底轨腰组合铣（2根，含倒角）</t>
  </si>
  <si>
    <t>翼轨轨头斜头铣切（2根，含倒角））</t>
  </si>
  <si>
    <t>翼轨轨底弹条槽铣切（2根，含倒角））</t>
  </si>
  <si>
    <t>间隔铁铣削（8个）60*8+20</t>
  </si>
  <si>
    <t>间隔铁钻孔（8个）6*8</t>
  </si>
  <si>
    <t>钢轨垫圈下料（24个*0.3含倒角）</t>
  </si>
  <si>
    <t>钢轨垫圈钻孔（24个*0.3含倒角）</t>
  </si>
  <si>
    <t>钢轨垫圈铣削（18个*0.66含倒角）</t>
  </si>
  <si>
    <t>钢轨垫圈锯切（4个*0.5含倒角）</t>
  </si>
  <si>
    <t>辙叉垫板焊接（7张*4.5）</t>
  </si>
  <si>
    <t>辙叉组装（含镶块的拼接、倒角）</t>
  </si>
  <si>
    <t>整组50-9# CZ2209-IV 辙叉加工费用</t>
  </si>
  <si>
    <t>编制： 刘磅礴                                                     日期：2023年8月11日</t>
  </si>
  <si>
    <t>易亨公司 合金钢组合辙叉 计件工价 明细表-12</t>
  </si>
  <si>
    <t>型号：60kg/m钢轨9号  图号：CZ577-Ⅳ  金额：1771元/组</t>
  </si>
  <si>
    <t>翼轨轨底弹条槽铣切（2根，含倒角）</t>
  </si>
  <si>
    <t>翼轨镗大孔（2根*2孔，含倒角）</t>
  </si>
  <si>
    <t>间隔铁数控铣削16#、17#、18#（3个）</t>
  </si>
  <si>
    <t>钢轨垫圈下料（26个*0.3含倒角）</t>
  </si>
  <si>
    <t>钢轨垫圈钻孔（26个*0.3含倒角）</t>
  </si>
  <si>
    <t>钢轨垫圈铣削（22个*0.66含倒角）</t>
  </si>
  <si>
    <t>整组60-9# CZ577-IV 辙叉加工费用</t>
  </si>
  <si>
    <t>编制： 刘磅礴                                                    日期：2023年4月11日</t>
  </si>
  <si>
    <t>易亨公司 合金钢组合辙叉 计件工价 明细表-13</t>
  </si>
  <si>
    <t>型号：60kg/m钢轨9号  图号：铁联线051-Ⅳ 金额：1821元/组</t>
  </si>
  <si>
    <t>铁联线051-Ⅳ</t>
  </si>
  <si>
    <t>整组60-9# 铁联线051-IV 辙叉加工费用</t>
  </si>
  <si>
    <t>编制： 刘磅礴                   日期：2023年4月11日           修改日期：2024年12月3日</t>
  </si>
  <si>
    <t>易亨公司 合金钢组合辙叉 计件工价 明细表-14</t>
  </si>
  <si>
    <t>型号：60kg/m钢轨12号  图号：SC330-IV   金额：1856元/组</t>
  </si>
  <si>
    <r>
      <rPr>
        <sz val="12"/>
        <color theme="1"/>
        <rFont val="宋体"/>
        <family val="3"/>
        <charset val="134"/>
      </rPr>
      <t>心轨沉孔（含倒角）</t>
    </r>
  </si>
  <si>
    <t>翼轨轨底锯切（2根，非工作边，含倒角）</t>
  </si>
  <si>
    <t>翼轨轨底铣切1（2根，工作边，含倒角）</t>
  </si>
  <si>
    <t>翼轨轨底铣切2（2根，工作边，含倒角）</t>
  </si>
  <si>
    <t>间隔铁车削22#、23#（2个*5）</t>
  </si>
  <si>
    <t>间隔铁数控铣削19#、20#、21#（3个）</t>
  </si>
  <si>
    <t>钢轨垫圈下料（38个*0.3含倒角）</t>
  </si>
  <si>
    <t>钢轨垫圈钻孔（38个*0.3含倒角）</t>
  </si>
  <si>
    <t>钢轨垫圈铣削（30个*0.66含倒角）</t>
  </si>
  <si>
    <t>铁座33铣削:（4块*2.5，含倒角）</t>
  </si>
  <si>
    <t>整组60-12# SC330-IV 辙叉加工费用</t>
  </si>
  <si>
    <t>易亨公司 合金钢组合辙叉 计件工价 明细表-15</t>
  </si>
  <si>
    <t>型号：60kg/m钢轨12号  图号：专线4249-IV  金额：1936元/组</t>
  </si>
  <si>
    <t>专线4249-IV</t>
  </si>
  <si>
    <t>镶块上下鄂数控铣削（2根，含倒角）</t>
  </si>
  <si>
    <t>镶块锯头（4头）</t>
  </si>
  <si>
    <t>叉跟轨钻孔（24孔，含倒角）</t>
  </si>
  <si>
    <t>叉跟轨扭转（2根，含校直）</t>
  </si>
  <si>
    <t>翼轨轨底铣切1（2根，含倒角）</t>
  </si>
  <si>
    <t>翼轨轨底铣切2（2根，含倒角）</t>
  </si>
  <si>
    <t>钢轨垫圈下料（38个*0.3，含倒角）</t>
  </si>
  <si>
    <t>钢轨垫圈钻孔（38个*0.3，含倒角）</t>
  </si>
  <si>
    <t>钢轨垫圈铣削（30个*0.66，含倒角）</t>
  </si>
  <si>
    <t>整组60-12# 专线4249-IV 辙叉加工费用</t>
  </si>
  <si>
    <t>编制： 刘磅礴                   日期：2023年4月11日            修改日期：2024年12月3日</t>
  </si>
  <si>
    <t>易亨公司 60-9 / 60-12 心轨精加工 计件工价 明细表-16</t>
  </si>
  <si>
    <t>型号：60-9 / 60-12   图号：CHGZH7003 / CTGZH1000-04   金额：344元/组</t>
  </si>
  <si>
    <t>60-12 单价</t>
  </si>
  <si>
    <t>60-9 单价</t>
  </si>
  <si>
    <t>铣心轨等宽平面（含倒角）</t>
  </si>
  <si>
    <t>铣心轨燕尾前部平面（含倒角）</t>
  </si>
  <si>
    <t>铣心轨燕尾后部平面（含倒角）</t>
  </si>
  <si>
    <t>心轨沉孔（2个*3，含倒角）</t>
  </si>
  <si>
    <t>心轨上下额数控铣削</t>
  </si>
  <si>
    <t>心轨头部缺口铣削</t>
  </si>
  <si>
    <t>心轨工作边断面及降低值铣削（含刀痕抛光)</t>
  </si>
  <si>
    <t>心轨锯轨头（2头*5，含倒角）</t>
  </si>
  <si>
    <t>心轨未加工圆角打磨</t>
  </si>
  <si>
    <t>数控加工上下轨额位置</t>
  </si>
  <si>
    <t>心轨加工费用合计</t>
  </si>
  <si>
    <t>编制： 刘磅礴                                                     日期：2022年2月28日</t>
  </si>
  <si>
    <t>易亨公司 合金钢组合辙叉 计件工价 明细表-17</t>
  </si>
  <si>
    <t>型号：50kg/m钢轨7号  图号：专线9931  金额：1515元/组</t>
  </si>
  <si>
    <t>叉跟轨钻孔（2根，模板，含倒角）</t>
  </si>
  <si>
    <t>钢轨垫圈铣削（22个*1.2，含高度、倒角）</t>
  </si>
  <si>
    <t>辙叉垫板下料（6张*1，含倒角）</t>
  </si>
  <si>
    <t>辙叉垫板钻孔（6张*1，含倒角）</t>
  </si>
  <si>
    <t>辙叉垫板焊接（6张*4.5，含焊渣清理）</t>
  </si>
  <si>
    <t>辙叉垫板校直（6张*1）</t>
  </si>
  <si>
    <t>垫板承台板下料（4*0.5）</t>
  </si>
  <si>
    <t>支距扣</t>
  </si>
  <si>
    <t>支距扣加工费用小计</t>
  </si>
  <si>
    <t>间隔铁加工（自制。含钻孔、铣削）</t>
  </si>
  <si>
    <t>整组50-7# 专线9931 辙叉加工费用</t>
  </si>
  <si>
    <t>易亨公司 合金钢组合辙叉 计件工价 明细表-18</t>
  </si>
  <si>
    <t>型号：50kg/m钢轨7号  图号：CDDT7(Ⅱ)-01  金额：1515元/组</t>
  </si>
  <si>
    <t>辙叉垫板焊接（6张*5.5，含焊渣清理）</t>
  </si>
  <si>
    <t>整组50-7# CDDT7(II)-01 辙叉加工费用</t>
  </si>
  <si>
    <t>编制： 刘磅礴                                                        日期：2023年4月11日</t>
  </si>
  <si>
    <t>易亨公司 合金钢组合辙叉 计件工价 明细表-19</t>
  </si>
  <si>
    <t>型号：60kg/m钢轨9号   图号：专线4196  金额：870元/组</t>
  </si>
  <si>
    <t>垫板承台板下料(8张*0.5)</t>
  </si>
  <si>
    <t>辙叉垫板组装（Ⅲ型弹条）</t>
  </si>
  <si>
    <t>整组60-9# 专线4196 辙叉加工费用</t>
  </si>
  <si>
    <t>编制： 刘磅礴                                                  日期：2023年4月11日</t>
  </si>
  <si>
    <t>易亨公司 合金钢组合辙叉 计件工价 明细表-20</t>
  </si>
  <si>
    <t>型号：60kg/m钢轨9号  图号：CDDT7(Ⅱ)-01  金额：870元/组</t>
  </si>
  <si>
    <t>CDDT7(II)-01</t>
  </si>
  <si>
    <t>整组60-9# CDDT7(II)-01辙叉加工费用</t>
  </si>
  <si>
    <t>易亨公司 合金钢组合辙叉 计件工价 明细表-21</t>
  </si>
  <si>
    <t>型号：60kg/m钢轨9号  图号：CDGD8(Ⅱ)-02  金额：1172元/组</t>
  </si>
  <si>
    <t xml:space="preserve">CDGD8(Ⅱ)-02 </t>
  </si>
  <si>
    <t>序号2翼轨下料（1根，车间外，含倒角）</t>
  </si>
  <si>
    <t>序号2翼轨钻孔（1根，含倒角）</t>
  </si>
  <si>
    <t>序号2翼轨弯折（1根）</t>
  </si>
  <si>
    <t>序号2翼轨内侧轨底锯切（1根，含倒角）</t>
  </si>
  <si>
    <t>序号2翼轨外侧轨底铣切（1根，含倒角）</t>
  </si>
  <si>
    <t>序号2翼轨轨头斜头铣切（1根，含倒角）</t>
  </si>
  <si>
    <t>序号2翼轨轨底弹条槽铣切（1根,含倒角）</t>
  </si>
  <si>
    <t>序号2翼轨加工费小计</t>
  </si>
  <si>
    <t>序号3翼轨下料（1根，车间外，含倒角）</t>
  </si>
  <si>
    <t>序号3翼轨划线及钻孔（1根，含倒角）</t>
  </si>
  <si>
    <t>序号3翼轨折（1根）</t>
  </si>
  <si>
    <t>序号3翼轨内侧轨底铣切（1根，含倒角）</t>
  </si>
  <si>
    <t>序号3翼轨加工费小计</t>
  </si>
  <si>
    <t>序号16、18、20、44间隔铁加工</t>
  </si>
  <si>
    <t>间隔铁车削：13#、14#、15#、16#</t>
  </si>
  <si>
    <t>整组60-9# CDGD(II)-02辙叉加工费用</t>
  </si>
  <si>
    <t>易亨公司 合金钢组合辙叉 计件工价 明细表-22</t>
  </si>
  <si>
    <t>型号：60kg/m钢轨12号  图号:CDDT(19)-01 金额：973元/组</t>
  </si>
  <si>
    <t>辙叉垫板组装  （Ⅲ型弹条）</t>
  </si>
  <si>
    <t>整组60-12# CDDT(19)-01辙叉加工费用</t>
  </si>
  <si>
    <t>易亨公司 合金钢组合辙叉 计件工价 明细表-23</t>
  </si>
  <si>
    <t>型号：60kg/m钢轨12号   图号：TSY80-08   金额：983元/组</t>
  </si>
  <si>
    <t>心轨加工费用小计</t>
  </si>
  <si>
    <t>叉跟轨加工费用小计</t>
  </si>
  <si>
    <t>翼轨加工费用小计</t>
  </si>
  <si>
    <t>组合心轨加工费用小计</t>
  </si>
  <si>
    <t>辙叉垫板钻孔（10张*3）</t>
  </si>
  <si>
    <t>间隔铁车削18#、19#、20#、21#（4个*5元/个）</t>
  </si>
  <si>
    <t xml:space="preserve">辙叉垫板组装  </t>
  </si>
  <si>
    <t>辙叉组装加工费用小计</t>
  </si>
  <si>
    <t>整组60-12# TSY80-08 辙叉加工费用</t>
  </si>
  <si>
    <t>编制： 刘磅礴                                                    日期：2023年7月3日</t>
  </si>
  <si>
    <t>易亨公司 合金钢组合辙叉 计件工价 明细表-24</t>
  </si>
  <si>
    <t>型号：60kg/m钢轨9号   图号：TSY21-08   金额：1876元/组</t>
  </si>
  <si>
    <t>翼轨轨底铣切（2根,含倒角）</t>
  </si>
  <si>
    <t>翼轨扭转（2根）</t>
  </si>
  <si>
    <t>辙叉垫板钻孔（8张*3，含倒角）</t>
  </si>
  <si>
    <t>序号59、12垫板轨底坡铣削（2张*10）</t>
  </si>
  <si>
    <t>垫板顶面铣削（8张*15）</t>
  </si>
  <si>
    <t>支距垫板</t>
  </si>
  <si>
    <t>支距扣板铣削、钻孔（含倒角）</t>
  </si>
  <si>
    <t>支距垫板加工费用小计</t>
  </si>
  <si>
    <t>间隔铁加工（11块）</t>
  </si>
  <si>
    <t>间隔铁凸台数控加工（4块）</t>
  </si>
  <si>
    <t>整组60-9# TSY21-08 辙叉加工费用</t>
  </si>
  <si>
    <t>易亨公司 合金钢组合辙叉 计件工价 明细表-25</t>
  </si>
  <si>
    <t>型号：60kg/m钢轨12号 图号：SC330G/专线4228G  金额：883元/组</t>
  </si>
  <si>
    <t>SC330G/专线4228G</t>
  </si>
  <si>
    <t>铁座加工费用小计</t>
  </si>
  <si>
    <t>整组SC330G/专线4228G辙叉加工费用</t>
  </si>
  <si>
    <t>易亨公司 合金钢组合辙叉 计件工价 明细表-26</t>
  </si>
  <si>
    <t>型号：60kg/m钢轨12号  图号：专线4249G  金额：923元/组</t>
  </si>
  <si>
    <t>钢轨垫圈加工费小计</t>
  </si>
  <si>
    <t>辙叉垫板加工费小计</t>
  </si>
  <si>
    <t>支距扣板加工费小计</t>
  </si>
  <si>
    <t>辙叉组装加工费小计</t>
  </si>
  <si>
    <t>整组60-12#专线4249G辙叉加工费用</t>
  </si>
  <si>
    <t>编制： 刘磅礴                                                   日期：2023年4月11日</t>
  </si>
  <si>
    <t>易亨公司 合金钢组合辙叉 计件工价 明细表-27</t>
  </si>
  <si>
    <t>型号：60kg/m钢轨9号  图号：铁联线051  金额：884元/组</t>
  </si>
  <si>
    <t>整组60-9# 铁联线051辙叉加工费用</t>
  </si>
  <si>
    <t>易亨公司 合金钢组合辙叉 计件工价 明细表-28</t>
  </si>
  <si>
    <t>型号：60kg/m钢轨9号  图号：专线9761-Ⅱ-400  金额：1071元/组</t>
  </si>
  <si>
    <t xml:space="preserve">专线9761-Ⅱ-400 </t>
  </si>
  <si>
    <t>叉跟轨下料（2根，含倒角）</t>
  </si>
  <si>
    <t>叉跟轨轨底铣切（2根，含倒角）</t>
  </si>
  <si>
    <t>翼轨下料（2根，含倒角）</t>
  </si>
  <si>
    <t>翼轨内侧轨底铣切（2根，含倒角）</t>
  </si>
  <si>
    <t>翼轨轨头铣削（2根，含倒角）</t>
  </si>
  <si>
    <t>辙叉垫板画线焊接（8张*6）</t>
  </si>
  <si>
    <t>序号8垫板铣削</t>
  </si>
  <si>
    <t>序号8垫板台板下料</t>
  </si>
  <si>
    <t>支距扣板加工钻孔（两块）</t>
  </si>
  <si>
    <t>支距扣板加工铣削（两块）</t>
  </si>
  <si>
    <t>防转片安装</t>
  </si>
  <si>
    <t>整组60-9# 专线9761-II-400 辙叉加工费用</t>
  </si>
  <si>
    <t>易亨公司 合金钢组合辙叉 计件工价 明细表-29</t>
  </si>
  <si>
    <t>型号：60kg/m钢轨9号  图号：专线9761-Ⅲ-300  金额：1199元/组</t>
  </si>
  <si>
    <t>辙叉垫板画线焊接（6张*6）</t>
  </si>
  <si>
    <t>护轨垫板撑板下料（2张，含倒角）</t>
  </si>
  <si>
    <t>护轨垫板撑板钻孔（2张，含倒角）</t>
  </si>
  <si>
    <t>护轨垫板撑板椭圆孔数控铣（2张）</t>
  </si>
  <si>
    <t>护轨垫板台板下料（2张，含倒角）</t>
  </si>
  <si>
    <t>护轨垫板台板铣削（2张，含倒角）</t>
  </si>
  <si>
    <t>护轨垫板焊接（2张，含倒角）</t>
  </si>
  <si>
    <t>整组60-9# 专线9761-III-300辙叉加工费用</t>
  </si>
  <si>
    <t>易亨公司 合金钢组合辙叉（锐角） 计件工价 明细表-30</t>
  </si>
  <si>
    <t>型号：60kg/m钢轨4.5号  图号：专线9761-Ⅲ-400  金额：1101元/组</t>
  </si>
  <si>
    <t>序号9垫板铣削</t>
  </si>
  <si>
    <t>序号9垫板台板下料</t>
  </si>
  <si>
    <t>支距扣板加工钻孔</t>
  </si>
  <si>
    <t>支距扣板加工铣削</t>
  </si>
  <si>
    <t>铁座铣削</t>
  </si>
  <si>
    <t>整组60-4.5# 专线9761-III-400 辙叉加工费用</t>
  </si>
  <si>
    <t>易亨公司 合金钢组合辙叉 计件工价 明细表-31</t>
  </si>
  <si>
    <t>型号：60kg/m钢轨4.5号  图号：专线9761-Ⅲ-500  金额：2357元/组</t>
  </si>
  <si>
    <t xml:space="preserve">专线9761-Ⅲ-500 </t>
  </si>
  <si>
    <t>铣心轨基础（两根，含倒角）</t>
  </si>
  <si>
    <t>铣心轨高度（两根，含倒角）</t>
  </si>
  <si>
    <t>铣心轨外形平面（两根，含倒角）</t>
  </si>
  <si>
    <t>铣心轨两侧R16（两根，含倒角）</t>
  </si>
  <si>
    <t>心轨钻孔（两根，含倒角）</t>
  </si>
  <si>
    <t>心轨沉孔（两根，含倒角）</t>
  </si>
  <si>
    <t>心轨上鄂数控铣削（两根，含倒角）</t>
  </si>
  <si>
    <t>心轨锯轨头（4头，含倒角）</t>
  </si>
  <si>
    <t>翼轨下料（1根，含倒角）</t>
  </si>
  <si>
    <t>翼轨划线钻孔（1根，含倒角）</t>
  </si>
  <si>
    <t>翼轨弯折（1根）</t>
  </si>
  <si>
    <t>翼轨内侧轨底铣切（1根，含倒角）</t>
  </si>
  <si>
    <t>翼轨轨头斜头铣切（1根，含倒角）</t>
  </si>
  <si>
    <t>翼轨轨底弹条槽铣切（1根,含倒角）</t>
  </si>
  <si>
    <t>翼轨轨头数控铣切（1根，含倒角）</t>
  </si>
  <si>
    <t>护轨</t>
  </si>
  <si>
    <t>护轨下料（1根，含倒角）</t>
  </si>
  <si>
    <t>护轨划线钻孔（1根，含倒角）</t>
  </si>
  <si>
    <t>护轨两次弯折（1根）</t>
  </si>
  <si>
    <t>护轨外侧轨底铣切（1根）</t>
  </si>
  <si>
    <t>护轨外侧弹条槽铣切（1根）</t>
  </si>
  <si>
    <t>护轨内侧轨底铣切（1根，含倒角）</t>
  </si>
  <si>
    <t>护轨轨头铣切（1根，含倒角）</t>
  </si>
  <si>
    <t>护轨轨头斜头铣切（1根，含倒角）</t>
  </si>
  <si>
    <t>护轨顶面铣削（1根，含倒角）</t>
  </si>
  <si>
    <t>护轨加工费小计</t>
  </si>
  <si>
    <t>铣镶块基础（1根）</t>
  </si>
  <si>
    <t>铣镶块高度（1根）</t>
  </si>
  <si>
    <t>铣镶块外型（1根，含倒角）</t>
  </si>
  <si>
    <t>镶块钻孔（1根，含倒角）</t>
  </si>
  <si>
    <t>镶块沉孔（1根，含倒角）</t>
  </si>
  <si>
    <t>镶块上下鄂数控铣削（1根，全部断面）</t>
  </si>
  <si>
    <t>镶块锯头（2头，含倒角）</t>
  </si>
  <si>
    <t>组合心轨组装（两根）</t>
  </si>
  <si>
    <t>组合心轨铣削粗精加工（两根)</t>
  </si>
  <si>
    <t>垫板台板铣削（6张，含倒角）</t>
  </si>
  <si>
    <t>序号14、15垫板画线焊接（2张*10）</t>
  </si>
  <si>
    <t>序号8-13垫板画线焊接（6张*20）</t>
  </si>
  <si>
    <t>整组60-4.5# 专线9781-III-500 辙叉加工费用</t>
  </si>
  <si>
    <t>易亨公司 合金钢组合辙叉 计件工价 明细表-32</t>
  </si>
  <si>
    <t>型号：60kg/m钢轨9号  图号：C6D813  金额：1012元/组</t>
  </si>
  <si>
    <t>序号50垫板铣削</t>
  </si>
  <si>
    <t>整组60-9# C6D813 辙叉加工费用</t>
  </si>
  <si>
    <t>易亨公司 合金钢组合辙叉 计件工价 明细表-33</t>
  </si>
  <si>
    <t>型号：60kg/m钢轨9号    图号：C6JA94   金额：1023元/组</t>
  </si>
  <si>
    <t>翼轨外侧轨底铣切（1根，含倒角）</t>
  </si>
  <si>
    <t>序号51垫板铣削</t>
  </si>
  <si>
    <t>整组60-9# C6JA94 辙叉加工费用</t>
  </si>
  <si>
    <t>易亨公司 合金钢组合辙叉 计件工价 明细表-34</t>
  </si>
  <si>
    <t>型号：60kg/m钢轨12号  图号：ZYX-01   金额：943元/组</t>
  </si>
  <si>
    <t>辙叉垫板划线焊接（10张*6）</t>
  </si>
  <si>
    <t>整组60-12# ZYX-01辙叉加工费用</t>
  </si>
  <si>
    <t>易亨公司 合金钢组合辙叉 计件工价 明细表-35</t>
  </si>
  <si>
    <t>型号：60kg/m钢轨12号   图号：ZYX-02   金额：1452元/组</t>
  </si>
  <si>
    <t>辙叉垫板下料（12张*1）</t>
  </si>
  <si>
    <t>辙叉垫板钻孔（12张*1）</t>
  </si>
  <si>
    <t>辙叉垫板画线焊接（10张*6）</t>
  </si>
  <si>
    <t>垫板校直（12张*1）</t>
  </si>
  <si>
    <t>支距扣板承轨面铣削（2块 ,含倒角）</t>
  </si>
  <si>
    <t>支距扣板加工（1块 ,钻孔5，铣削25，含倒角）</t>
  </si>
  <si>
    <t>间隔铁加工（共四块，铣削60，钻孔5）</t>
  </si>
  <si>
    <t>整组60-12# ZYX-02 辙叉加工费用</t>
  </si>
  <si>
    <t>易亨公司 合金钢组合辙叉(北京地铁) 计件工价 明细表-36</t>
  </si>
  <si>
    <t>型号：60kg/m钢轨12号  图号：专线9775-Ⅰ-300  金额：1871元/组</t>
  </si>
  <si>
    <t xml:space="preserve">专线9775-Ⅰ-300 </t>
  </si>
  <si>
    <t>轨头数控铣（2根，含倒角）</t>
  </si>
  <si>
    <t>整组60-12# 专线9775-I-300 辙叉加工费用</t>
  </si>
  <si>
    <t>易亨公司 合金钢组合辙叉(锐角) 计件工价 明细表-37</t>
  </si>
  <si>
    <t>型号：60kg/m钢轨6号   图号：专线9775-Ⅱ-400   金额：1086元/组</t>
  </si>
  <si>
    <t>支距扣板加工  钻孔（两块）</t>
  </si>
  <si>
    <t>支距扣板加工  铣削（两块）</t>
  </si>
  <si>
    <t>整组60-6# 专线9775-II-400辙叉加工费用</t>
  </si>
  <si>
    <t>易亨公司 合金钢组合辙叉 计件工价 明细表-38</t>
  </si>
  <si>
    <t>型号：60kg/m钢轨6号  图号：专线9775-Ⅱ-500  金额：2388元/组</t>
  </si>
  <si>
    <t>垫板台板铣削（8块*20，含倒角）</t>
  </si>
  <si>
    <t>序号12-15垫板画线焊接（4张*9）</t>
  </si>
  <si>
    <t>序号8-11垫板画线焊接（4张*20）</t>
  </si>
  <si>
    <t>整组60-6# 专线9775-II-500辙叉加工费用</t>
  </si>
  <si>
    <t>易亨公司 合金钢组合辙叉 计件工价 明细表-39</t>
  </si>
  <si>
    <t>型号：60kg/m钢轨18号  图号：GLC(09)05-Ⅳ  金额：4321元/组</t>
  </si>
  <si>
    <t>GLC(09)05-Ⅳ</t>
  </si>
  <si>
    <t>叉跟轨划线（2根）</t>
  </si>
  <si>
    <t>翼轨划线（2根）</t>
  </si>
  <si>
    <t>翼轨轨底非工作边铣切（2根，含倒角）</t>
  </si>
  <si>
    <t>翼轨轨底工作边铣切1（2根，含倒角）</t>
  </si>
  <si>
    <t>翼轨轨底工作边铣切2（2根，含倒角）</t>
  </si>
  <si>
    <t>翼轨轨底置垫板处铣切（2根，含倒角）</t>
  </si>
  <si>
    <t>间隔铁铣削（17*60）</t>
  </si>
  <si>
    <t>间隔铁钻孔（17*7）</t>
  </si>
  <si>
    <t>间隔铁数控铣削（10*15）</t>
  </si>
  <si>
    <t>钢轨垫圈下料（52个*0.3，含倒角）</t>
  </si>
  <si>
    <t>钢轨垫圈钻孔（52个*0.3，含倒角）</t>
  </si>
  <si>
    <t>钢轨垫圈铣削（38个*0.66，含倒角）</t>
  </si>
  <si>
    <t>辙叉垫板下料（15张*1.5，含倒角）</t>
  </si>
  <si>
    <t>辙叉垫板钻孔（15张*3，含倒角）</t>
  </si>
  <si>
    <t>辙叉垫板焊接（15张*6）</t>
  </si>
  <si>
    <t>辙叉垫板校直（15张*1）</t>
  </si>
  <si>
    <t>序号 8、22垫板铣削（2张*15）（含倒角）</t>
  </si>
  <si>
    <t>序号 9-21垫板铣削（2张*10）（含倒角）</t>
  </si>
  <si>
    <t>自制支距扣板铣削（两块，含倒角）</t>
  </si>
  <si>
    <t>自制支距扣板钻孔（两块，含倒角）</t>
  </si>
  <si>
    <t>整组60-18# GLC(09)05-IV辙叉加工费用</t>
  </si>
  <si>
    <t>易亨公司 合金钢组合辙叉 计件工价 明细表-40</t>
  </si>
  <si>
    <t>型号：60kg/m钢轨18号  图号：研线 1302-Ⅳ  金额：4440元/组</t>
  </si>
  <si>
    <t>间隔铁铣削（18*60）</t>
  </si>
  <si>
    <t>间隔铁钻孔（18*6）</t>
  </si>
  <si>
    <t>间隔铁数控铣削（11*15）</t>
  </si>
  <si>
    <t>辙叉垫板划线焊接（15张*6，含焊渣清理）</t>
  </si>
  <si>
    <t>序号 8、22垫板轨底坡、端头厚度铣削（2张*15）（含倒角）</t>
  </si>
  <si>
    <t>序号 8-22垫板端头缺口铣削（15张*20）（含倒角）</t>
  </si>
  <si>
    <t>序号 9-21垫板端头厚度铣削（13张*10）（含倒角）</t>
  </si>
  <si>
    <t>序号 8-22垫板整体厚度铣削（15张*10）（含倒角）</t>
  </si>
  <si>
    <t>整组60-18# 研线1302-IV 辙叉加工费用</t>
  </si>
  <si>
    <t>修订： 李于刚                                                               日期：2024年1月16日</t>
  </si>
  <si>
    <t>易亨公司 合金钢组合辙叉（锐角） 计件工价 明细表-41</t>
  </si>
  <si>
    <t>型号：50kg/m钢轨4.5号  图号：CB2215-Ⅳ  金额：2287元/组</t>
  </si>
  <si>
    <t>CB2215-Ⅳ</t>
  </si>
  <si>
    <t>叉跟轨划线、钻孔（2根，含倒角）</t>
  </si>
  <si>
    <t>翼轨划线、钻孔（2根，含倒角）</t>
  </si>
  <si>
    <t>间隔铁铣削（7*60）</t>
  </si>
  <si>
    <t>间隔铁钻孔（7*6）</t>
  </si>
  <si>
    <t>间隔铁数控铣削（4*15）</t>
  </si>
  <si>
    <t>钢轨垫圈下料（22个*0.3含倒角）</t>
  </si>
  <si>
    <t>钢轨垫圈钻孔（22个*0.3含倒角）</t>
  </si>
  <si>
    <t>钢轨垫圈铣削（12个*1.2含倒角）</t>
  </si>
  <si>
    <t>辙叉垫板划线焊接（6张*6）</t>
  </si>
  <si>
    <t>铁座33铣削:（2块*2.5，含倒角）</t>
  </si>
  <si>
    <t>支距扣板下料</t>
  </si>
  <si>
    <t>支距扣板铣削</t>
  </si>
  <si>
    <t>支距扣板钻孔</t>
  </si>
  <si>
    <t>整组50-4.5# CB2215-IV辙叉加工费用</t>
  </si>
  <si>
    <t>编制： 刘磅礴                                                   日期：2023年8月16日</t>
  </si>
  <si>
    <t>易亨公司 合金钢组合辙叉（钝角） 计件工价 明细表-42</t>
  </si>
  <si>
    <t>型号：50kg/m钢轨4.5号    图号：CB2216-Ⅳ   金额：3635元/组</t>
  </si>
  <si>
    <t>CB2216-Ⅳ</t>
  </si>
  <si>
    <t>铣心轨大平面（两根，含倒角）</t>
  </si>
  <si>
    <t>铣心轨中平面（两根，含倒角）</t>
  </si>
  <si>
    <t>铣心轨尾部平面（两根，含倒角）</t>
  </si>
  <si>
    <t>心轨上下鄂数控铣削（两根，含倒角）</t>
  </si>
  <si>
    <t>心轨锯轨头（两根，含倒角）</t>
  </si>
  <si>
    <t>叉跟轨下料（1根，车间外，含倒角）</t>
  </si>
  <si>
    <t>叉跟轨划线、钻孔（1根，含倒角）</t>
  </si>
  <si>
    <t>叉跟轨弯折（1根）</t>
  </si>
  <si>
    <t>叉跟轨轨底锯切（1根，含倒角）</t>
  </si>
  <si>
    <t>叉跟轨轨底、轨头铣切（1根，含倒角）</t>
  </si>
  <si>
    <t>叉跟轨腰铣切（1根，含倒角）</t>
  </si>
  <si>
    <t>叉跟护轨</t>
  </si>
  <si>
    <t>叉跟护轨下料（1根，车间外，含倒角）</t>
  </si>
  <si>
    <t>叉跟护轨划线、钻孔（1根，含倒角）</t>
  </si>
  <si>
    <t>叉跟护轨弯折（1根）</t>
  </si>
  <si>
    <t>叉跟护轨非工作边轨底锯切（1根，含倒角）</t>
  </si>
  <si>
    <t>叉跟护轨工作边轨底锯切（1根，含倒角）</t>
  </si>
  <si>
    <t>叉跟护轨轨底、轨头铣切（1根，含倒角）</t>
  </si>
  <si>
    <t>叉跟护轨腰铣切（1根，含倒角）</t>
  </si>
  <si>
    <t>叉跟护轨轨顶铣切（1根，含倒角）</t>
  </si>
  <si>
    <t>叉跟护轨斜头铣切（2根，含倒角）</t>
  </si>
  <si>
    <t>叉跟护轨加工费小计</t>
  </si>
  <si>
    <t>基本轨</t>
  </si>
  <si>
    <t>基本轨下料（1根，含倒角）</t>
  </si>
  <si>
    <t>基本轨划线、钻孔（1根，含倒角）</t>
  </si>
  <si>
    <t>基本轨弯折（1根）</t>
  </si>
  <si>
    <t>基本轨数控铣切（1根，含倒角）</t>
  </si>
  <si>
    <t>基本轨加工费小计</t>
  </si>
  <si>
    <t>护轨划线、钻孔（1根，含倒角）</t>
  </si>
  <si>
    <t>护轨弯折（1根）</t>
  </si>
  <si>
    <t>护轨轨底铣切（1根）</t>
  </si>
  <si>
    <t>护轨轨头铣切（1根）</t>
  </si>
  <si>
    <t>护轨轨顶铣切（1根）</t>
  </si>
  <si>
    <t>组合心轨组装（2组）</t>
  </si>
  <si>
    <t>组合心轨铣削（含刀痕抛光、倒角)</t>
  </si>
  <si>
    <t>间隔铁铣削（16*60）</t>
  </si>
  <si>
    <t>间隔铁钻孔（16*6）</t>
  </si>
  <si>
    <t>间隔铁数控铣削（8*15）</t>
  </si>
  <si>
    <t>挡块加工（4*50）</t>
  </si>
  <si>
    <t>钢轨垫圈下料（44个*0.3含倒角）</t>
  </si>
  <si>
    <t>钢轨垫圈钻孔（44个*0.3含倒角）</t>
  </si>
  <si>
    <t>钢轨垫圈铣削（20个*1.2含倒角）</t>
  </si>
  <si>
    <t>辙叉垫板划线焊接（8张*6）</t>
  </si>
  <si>
    <t>台板焊接（4张*3）</t>
  </si>
  <si>
    <t>台板下料（4块 *5）</t>
  </si>
  <si>
    <t>台板铣削（4块*20）</t>
  </si>
  <si>
    <t>整组50-4.5# CB2216-IV辙叉加工费用</t>
  </si>
  <si>
    <t>编制： 刘磅礴                                                    日期：2023年8月16日</t>
  </si>
  <si>
    <t>易亨公司 60-18 心轨+镶块 计件工价 明细表-43</t>
  </si>
  <si>
    <t>型号：60kg/m钢轨18号    图号：研线1302     金额：元/组</t>
  </si>
  <si>
    <t>心轨数控沉孔（含倒角）</t>
  </si>
  <si>
    <t>心轨加工费合计</t>
  </si>
  <si>
    <t>镶块加工费合计</t>
  </si>
  <si>
    <t>编制： 刘磅礴                                              日期：2023年6月18日</t>
  </si>
  <si>
    <t>易亨公司 60-18 镶块 计件工价 明细表-44</t>
  </si>
  <si>
    <t>型号：60kg/m钢轨18号  图号：研线1316  金额：689元/组</t>
  </si>
  <si>
    <t>编制： 刘磅礴                                                日期：2023年7月4日</t>
  </si>
  <si>
    <t>易亨公司 60-18 心轨 计件工价 明细表-45</t>
  </si>
  <si>
    <t>型号：60kg/m钢轨18号   图号：CZ2545   金额：元/组</t>
  </si>
  <si>
    <t>铣心轨两侧R50（数控铣，含倒角）</t>
  </si>
  <si>
    <t>编制： 刘磅礴                                                   日期：2023年6月18日</t>
  </si>
  <si>
    <t>易亨公司 其它项目工序 计件工价 明细表-46</t>
  </si>
  <si>
    <t>型号：各型        图号：         金额：    元/组</t>
  </si>
  <si>
    <t>1</t>
  </si>
  <si>
    <t>轨件划线</t>
  </si>
  <si>
    <t>各型</t>
  </si>
  <si>
    <t>无模板叉跟轨及翼轨等轨件</t>
  </si>
  <si>
    <t>2</t>
  </si>
  <si>
    <t>交渡垫板加工</t>
  </si>
  <si>
    <t>50、60kg/m各型</t>
  </si>
  <si>
    <t>块</t>
  </si>
  <si>
    <t>其中撑板下料、钻孔、倒角共计20元(撑板钻孔5元，撑板椭圆孔数控铣15元）；台板下料5元，台板铣削及倒角20元，撑板及台板焊接20元。</t>
  </si>
  <si>
    <t>3</t>
  </si>
  <si>
    <t>50、60kg/m辙叉</t>
  </si>
  <si>
    <t>Ⅲ型弹条</t>
  </si>
  <si>
    <t>4</t>
  </si>
  <si>
    <t>限位板安装</t>
  </si>
  <si>
    <t>平垫圈改限位板</t>
  </si>
  <si>
    <t>5</t>
  </si>
  <si>
    <t>垫板铣削</t>
  </si>
  <si>
    <t>特殊垫板（不含轨底坡铣削）</t>
  </si>
  <si>
    <t>6</t>
  </si>
  <si>
    <t>试棒车削</t>
  </si>
  <si>
    <t>含磨削</t>
  </si>
  <si>
    <t>7</t>
  </si>
  <si>
    <t>试棒锯切</t>
  </si>
  <si>
    <t>8</t>
  </si>
  <si>
    <t>支距扣板加工</t>
  </si>
  <si>
    <t>各 型</t>
  </si>
  <si>
    <t>铸造扣板加工</t>
  </si>
  <si>
    <t>9</t>
  </si>
  <si>
    <t>自制扣板：铣削25，钻孔5</t>
  </si>
  <si>
    <t>专线4232-7</t>
  </si>
  <si>
    <t>含倒角</t>
  </si>
  <si>
    <t>自制间隔铁</t>
  </si>
  <si>
    <t>铣削</t>
  </si>
  <si>
    <t>钻孔</t>
  </si>
  <si>
    <t>钢轨垫圈铣削</t>
  </si>
  <si>
    <t>中部开槽（统型辙叉用）</t>
  </si>
  <si>
    <t>辙叉喷漆</t>
  </si>
  <si>
    <t>清漆/带色号</t>
  </si>
  <si>
    <t>垫板喷漆</t>
  </si>
  <si>
    <t>防锈漆</t>
  </si>
  <si>
    <t>间隔铁喷漆</t>
  </si>
  <si>
    <t>轨距块+钢轨垫圈+支距扣板喷漆</t>
  </si>
  <si>
    <t>钢轨螺栓孔磨字</t>
  </si>
  <si>
    <t>处</t>
  </si>
  <si>
    <t>垫板渗锌前标记及打包</t>
  </si>
  <si>
    <t>装卸费</t>
  </si>
  <si>
    <t>吨</t>
  </si>
  <si>
    <t>辙叉及配件装卸</t>
  </si>
  <si>
    <t>钢轨卸车费</t>
  </si>
  <si>
    <t>25m钢轨</t>
  </si>
  <si>
    <t>热处理</t>
  </si>
  <si>
    <t>易亨公司 合金钢组合辙叉 计件工价 明细表-47</t>
  </si>
  <si>
    <t>型号：60kg/m钢轨12号   图号：专线7623   金额：1004元/组</t>
  </si>
  <si>
    <t>护轨垫板撑板方孔加工数控铣（2张）</t>
  </si>
  <si>
    <t>外购成型件</t>
  </si>
  <si>
    <t>护轨垫板焊接（两张，含焊渣清理）</t>
  </si>
  <si>
    <t>辙叉垫板焊接（8张*4.5,含焊渣清理）</t>
  </si>
  <si>
    <t>整组60-12# 专线7623 辙叉加工费用</t>
  </si>
  <si>
    <t>编制：李于刚                                                          2024年1月16日</t>
  </si>
  <si>
    <t>易亨公司 合金钢组合辙叉 计件工价 明细表-48</t>
  </si>
  <si>
    <t>型号：60kg/m钢轨12号   图号：研线1115   金额：2495元/组</t>
  </si>
  <si>
    <t>6012</t>
  </si>
  <si>
    <t>间隔铁数控铣削9#、24#、25#（3个）（60*3）</t>
  </si>
  <si>
    <t>间隔铁钻孔9#、24#、25#（3个）（6*3）</t>
  </si>
  <si>
    <t>钢轨垫圈下料（40个*0.3含倒角）</t>
  </si>
  <si>
    <t>钢轨垫圈钻孔（40个*0.3含倒角）</t>
  </si>
  <si>
    <t>辙叉垫板下料（10张*1.5，含倒角）</t>
  </si>
  <si>
    <t>辙叉垫板划线焊接（10张*6，含焊渣清理）</t>
  </si>
  <si>
    <t>序号 8、17垫板轨底坡、端头厚度铣削（2张*15）（含倒角）</t>
  </si>
  <si>
    <t>序号 8-17垫板端头缺口铣削（10张*20）（含倒角）</t>
  </si>
  <si>
    <t>序号 9-16垫板端头厚度铣削（8张*10）（含倒角）</t>
  </si>
  <si>
    <t>序号 8-17垫板整体厚度铣削（10张*10）（含倒角）</t>
  </si>
  <si>
    <t>整组60-12# 研线1115 辙叉加工费用</t>
  </si>
  <si>
    <t>编制： 李于刚                                                            日期：2024年1月16日</t>
  </si>
  <si>
    <t>易亨公司 合金钢组合辙叉 计件工价 明细表-49</t>
  </si>
  <si>
    <t>型号：60kg/m钢轨12号   图号：专线7623-Ⅳ  金额：1977元/组</t>
  </si>
  <si>
    <t>翼轨轨底铣切1（2根，含倒角））</t>
  </si>
  <si>
    <t>外购成型</t>
  </si>
  <si>
    <t>整组60-12# 专线7623-IV 辙叉加工费用</t>
  </si>
  <si>
    <t>编制：  李于刚                                                      日期：2024年1月16日</t>
  </si>
  <si>
    <t>易亨公司 合金钢组合辙叉 计件工价 明细表-50</t>
  </si>
  <si>
    <t>型号：60kg/m钢轨9号    图号：CZ580   金额：846元/组</t>
  </si>
  <si>
    <t>护轨垫板托板下料（2张，含倒角）</t>
  </si>
  <si>
    <t>护轨垫板焊接（2张，含焊渣清理）</t>
  </si>
  <si>
    <t>辙叉垫板焊接（5张*4.5，含焊渣清理）</t>
  </si>
  <si>
    <t>整组60-9# CZ580 辙叉加工费用</t>
  </si>
  <si>
    <t>编制：  李于刚                                                    日期：2024年1月16日</t>
  </si>
  <si>
    <t>易亨公司 合金钢组合辙叉 计件工价 明细表-51</t>
  </si>
  <si>
    <t>型号：60kg/m钢轨9号  图号：CZ580 -Ⅳ  金额：1804元/组</t>
  </si>
  <si>
    <t>整组60-9# CZ580-IV 辙叉加工费用</t>
  </si>
  <si>
    <t>编制： 李于刚                                                     日期：2024年1月16日</t>
  </si>
  <si>
    <t>易亨公司 合金钢组合辙叉 计件工价 明细表-52</t>
  </si>
  <si>
    <t>型号：60kg/m钢轨12号  图号：SC340-Ⅳ  金额：1937元/组</t>
  </si>
  <si>
    <t>外购 成型</t>
  </si>
  <si>
    <t>整组60-12# SC340-IV 辙叉加工费用</t>
  </si>
  <si>
    <t>编制： 李于刚                                                       日期：2024年1月16日</t>
  </si>
  <si>
    <t>易亨公司 合金钢组合辙叉 计件工价 明细表-53</t>
  </si>
  <si>
    <t>型号：60kg/m钢轨12号   图号：SC350-Ⅳ   金额：1856元/组</t>
  </si>
  <si>
    <t>整组辙叉加工费用</t>
  </si>
  <si>
    <t>易亨公司 合金钢组合辙叉 计件工价 明细表-54</t>
  </si>
  <si>
    <t>型号：60kg/m钢轨12号    图号：SC350G   金额：883元/组</t>
  </si>
  <si>
    <t>整组60-12# SC350G 辙叉加工费用</t>
  </si>
  <si>
    <t>编制： 李于刚                                                      日期：2024年1月16日</t>
  </si>
  <si>
    <t>易亨公司 合金钢组合辙叉 计件工价 明细表-55</t>
  </si>
  <si>
    <t>型号：60kg/m钢轨12号   图号：SC340   金额：1011元/组</t>
  </si>
  <si>
    <t>外购    成型</t>
  </si>
  <si>
    <t>辙叉垫板焊接（8张*4.5）</t>
  </si>
  <si>
    <t>整组60-12# SC340 辙叉加工费用</t>
  </si>
  <si>
    <t>易亨公司 合金钢组合辙叉 计件工价 明细表-56</t>
  </si>
  <si>
    <t>型号：60kg/m钢轨12号  图号：铁联线021-Ⅳ  金额：1977元/组</t>
  </si>
  <si>
    <t>外购  成型</t>
  </si>
  <si>
    <t>整组60-12# 铁联线021-IV 辙叉加工费用</t>
  </si>
  <si>
    <t>编制：  李于刚                                                       日期：2024年6月17日</t>
  </si>
  <si>
    <t>易亨公司 合金钢组合辙叉 计件工价 明细表-57</t>
  </si>
  <si>
    <t>型号：60kg/m钢轨12号  图号：XJX20-IV  金额：1897元/组</t>
  </si>
  <si>
    <t>辙叉垫板下料（11张*1，含倒角）</t>
  </si>
  <si>
    <t>辙叉垫板钻孔（13张*1，含倒角）</t>
  </si>
  <si>
    <t>辙叉垫板焊接划线（7张*1.5）</t>
  </si>
  <si>
    <t>辙叉垫板校直（13张*1）</t>
  </si>
  <si>
    <t>整组60-12# XJX20-IV 辙叉加工费用</t>
  </si>
  <si>
    <t>编制： 李于刚                                                       日期：2024年6月17日</t>
  </si>
  <si>
    <t>易亨公司 合金钢组合辙叉 计件工价 明细表-58</t>
  </si>
  <si>
    <t>型号：60kg/m钢轨9号   图号：C6JJ11  金额：1199元/组</t>
  </si>
  <si>
    <t>垫板铣削（8张*25）</t>
  </si>
  <si>
    <t>整组60-9# C6JJ11 辙叉加工费用</t>
  </si>
  <si>
    <t>编制： 李于刚                                                   日期：2024年6月17日</t>
  </si>
  <si>
    <t>易亨公司 合金钢组合辙叉 计件工价 明细表-59</t>
  </si>
  <si>
    <t>型号：60kg/m钢轨12号  图号：专线4228-IV  金额：1856元/组</t>
  </si>
  <si>
    <t>编制： 李于刚                                                     日期：2024年6月17日</t>
  </si>
  <si>
    <t>易亨公司 合金钢组合辙叉 计件工价 明细表-60</t>
  </si>
  <si>
    <t>型号：60kg/m钢轨9号   图号：CZ2504   金额：844.5元/组</t>
  </si>
  <si>
    <t>辙叉垫板划线焊接（7张*6，含焊渣清理）</t>
  </si>
  <si>
    <t>垫板铣削（1张*20）</t>
  </si>
  <si>
    <t>整组60-9# CZ2504 辙叉加工费用</t>
  </si>
  <si>
    <t xml:space="preserve"> 编制： 李于刚                                                     日期：2024年7月17日</t>
  </si>
  <si>
    <t>易亨公司 合金钢组合辙叉 计件工价 明细表-61</t>
  </si>
  <si>
    <t>型号：60kg/m钢轨12号  图号：专线4257-IV  金额：2538元/组</t>
  </si>
  <si>
    <t>间隔铁铣削10件*60元</t>
  </si>
  <si>
    <t>方料铣削</t>
  </si>
  <si>
    <t>间隔铁钻孔10件*5元</t>
  </si>
  <si>
    <t>钢轨垫圈铣削（38个*0.66含倒角）</t>
  </si>
  <si>
    <t>60扁钢改制50扁钢</t>
  </si>
  <si>
    <t>辙叉垫板焊接（10张*6）</t>
  </si>
  <si>
    <t>划线  焊接</t>
  </si>
  <si>
    <t>支距扣板铣削（25+5）*2块（含倒角）</t>
  </si>
  <si>
    <t>整组60-12# 专线4257-IV 辙叉加工费用</t>
  </si>
  <si>
    <t>编制： 李于刚                                                      日期：2024年7月17日</t>
  </si>
  <si>
    <t>易亨公司 合金钢组合辙叉 计件工价 明细表-62</t>
  </si>
  <si>
    <t>型号：60kg/m钢轨12号  图号：SC330-IV  金额：1856元/组</t>
  </si>
  <si>
    <t>易亨公司 合金钢组合辙叉 计件工价 明细表-63</t>
  </si>
  <si>
    <t>型号：60kg/m钢轨9号     图号：CZ580    金额：931元/组</t>
  </si>
  <si>
    <t>间隔铁铣削（1块*60）</t>
  </si>
  <si>
    <t>间隔铁钻孔（1块*5）</t>
  </si>
  <si>
    <t>编制： 李于刚                                                   日期：2024年7月17日</t>
  </si>
  <si>
    <t>易亨公司 合金钢组合辙叉 计件工价 明细表-64</t>
  </si>
  <si>
    <t>型号：60kg/m钢轨9号    图号：CZ577   金额：834元/组</t>
  </si>
  <si>
    <t>易亨公司 合金钢组合辙叉 计件工价 明细表-65</t>
  </si>
  <si>
    <t>型号：50kg/m钢轨9号    图号：CZ2209-I    金额：897元/组</t>
  </si>
  <si>
    <t>钢轨垫圈铣削（22个*0.67，含倒角）</t>
  </si>
  <si>
    <t>垫板大平面+中间凹槽+两端台阶</t>
  </si>
  <si>
    <t>编制： 李于刚                    日期：2024年7月17日            修改日期：2024年12月3日</t>
  </si>
  <si>
    <t>易亨公司 合金钢组合辙叉 计件工价 明细表-66</t>
  </si>
  <si>
    <t>型号：60kg/m钢轨9号   图号：专线4204  金额：888.56元/组</t>
  </si>
  <si>
    <t>辙叉垫板划线焊接（8张*6，含焊渣清理）</t>
  </si>
  <si>
    <t>整组60-9# 专线4204 辙叉加工费用</t>
  </si>
  <si>
    <t>编制： 李于刚                                                  日期：2024年10月29日</t>
  </si>
  <si>
    <t>易亨公司 合金钢组合辙叉 计件工价 明细表-67</t>
  </si>
  <si>
    <t>型号：60kg/m钢轨12号  图号：研线1612HC-I  金额：2062.74元/组</t>
  </si>
  <si>
    <t>铣心轨两侧R50（含倒角）</t>
  </si>
  <si>
    <t>心轨R5数控铣</t>
  </si>
  <si>
    <t>叉跟轨R50铣切（2根，含倒角）</t>
  </si>
  <si>
    <t>翼轨镗大孔（3孔，2根,含倒角）</t>
  </si>
  <si>
    <t>翼轨轨头斜头顶面铣切（2根，含倒角）</t>
  </si>
  <si>
    <t>组合心轨组装（含调校、打磨、轨件倒圆R5）</t>
  </si>
  <si>
    <t>间隔铁钻孔（11*5）</t>
  </si>
  <si>
    <t>自制</t>
  </si>
  <si>
    <t>间隔铁铣削（11*60）</t>
  </si>
  <si>
    <t>支距座</t>
  </si>
  <si>
    <t>支距座铣削(2*15)</t>
  </si>
  <si>
    <t>支距座焊接(2*2)</t>
  </si>
  <si>
    <t>支距座加工费用小计</t>
  </si>
  <si>
    <r>
      <rPr>
        <sz val="12"/>
        <color theme="1"/>
        <rFont val="仿宋"/>
        <family val="3"/>
        <charset val="134"/>
      </rPr>
      <t>辙叉垫板下料（</t>
    </r>
    <r>
      <rPr>
        <sz val="12"/>
        <color rgb="FFFF0000"/>
        <rFont val="仿宋"/>
        <family val="3"/>
        <charset val="134"/>
      </rPr>
      <t>7张</t>
    </r>
    <r>
      <rPr>
        <sz val="12"/>
        <color theme="1"/>
        <rFont val="仿宋"/>
        <family val="3"/>
        <charset val="134"/>
      </rPr>
      <t>*1.5，含倒角）</t>
    </r>
  </si>
  <si>
    <r>
      <rPr>
        <sz val="12"/>
        <color theme="1"/>
        <rFont val="仿宋"/>
        <family val="3"/>
        <charset val="134"/>
      </rPr>
      <t>辙叉垫板划线焊接（</t>
    </r>
    <r>
      <rPr>
        <sz val="12"/>
        <rFont val="仿宋"/>
        <family val="3"/>
        <charset val="134"/>
      </rPr>
      <t>10张</t>
    </r>
    <r>
      <rPr>
        <sz val="12"/>
        <color theme="1"/>
        <rFont val="仿宋"/>
        <family val="3"/>
        <charset val="134"/>
      </rPr>
      <t>*6，含焊渣清理）</t>
    </r>
  </si>
  <si>
    <t>序号 6、9、15垫板轨底坡（3张*15）（含倒角）</t>
  </si>
  <si>
    <t>序号 6-15垫板端头缺口铣削（10张*14）（含R5倒角）</t>
  </si>
  <si>
    <t>序号 6、9垫板端头厚度铣削（2张*10）（含倒角）</t>
  </si>
  <si>
    <t>序号 6-15垫板整体厚度铣削（10张*10）（含倒角）</t>
  </si>
  <si>
    <t>辙叉螺栓防松卡片及开口销安装</t>
  </si>
  <si>
    <t>整组 60-12#  研线16121HC-I 辙叉加工费用</t>
  </si>
  <si>
    <t>易亨公司 合金钢组合辙叉 计件工价 明细表-68</t>
  </si>
  <si>
    <t>翼轨镗大孔（2根,含倒角）</t>
  </si>
  <si>
    <r>
      <rPr>
        <sz val="12"/>
        <color theme="1"/>
        <rFont val="仿宋"/>
        <family val="3"/>
        <charset val="134"/>
      </rPr>
      <t>辙叉垫板下料（</t>
    </r>
    <r>
      <rPr>
        <sz val="12"/>
        <color rgb="FFFF0000"/>
        <rFont val="仿宋"/>
        <family val="3"/>
        <charset val="134"/>
      </rPr>
      <t>10张</t>
    </r>
    <r>
      <rPr>
        <sz val="12"/>
        <color theme="1"/>
        <rFont val="仿宋"/>
        <family val="3"/>
        <charset val="134"/>
      </rPr>
      <t>*1.5，含倒角）</t>
    </r>
  </si>
  <si>
    <t>序号 6、8、12垫板轨底坡（3张*15）（含倒角）</t>
  </si>
  <si>
    <t>序号 6-12垫板端头缺口铣削（7张*14）（含R5倒角）</t>
  </si>
  <si>
    <t>序号 6、8垫板端头厚度铣削（2张*10）（含倒角）</t>
  </si>
  <si>
    <t>序号 6-12垫板整体厚度铣削（7张*10）（含倒角）</t>
  </si>
  <si>
    <t>整组 60-9#  研线1609HC-I 辙叉加工费用</t>
  </si>
  <si>
    <t>易亨公司 合金钢组合辙叉 计件工价 明细表-69</t>
  </si>
  <si>
    <t>翼轨水平弯折（2根)</t>
  </si>
  <si>
    <t>翼轨轨头缓冲段斜头铣切（2根，含倒角））</t>
  </si>
  <si>
    <t>翼轨轨头侧面铣切（2根，含倒角）</t>
  </si>
  <si>
    <t>无此序</t>
  </si>
  <si>
    <t>钢轨垫圈加工费用小计（取消）</t>
  </si>
  <si>
    <t>辙叉垫板下料（8张*1.5，含倒角）</t>
  </si>
  <si>
    <t>两连桥梁垫板焊接（1张*13.5）</t>
  </si>
  <si>
    <t>序号 8、17垫板轨底坡（2张*15）（含倒角）</t>
  </si>
  <si>
    <t>序号8-17垫板端头缺口铣削（8张*14）（含R5倒角）(除桥梁垫板11/12号)</t>
  </si>
  <si>
    <t>整组60-12# 研线16121HC-IV 辙叉加工费用</t>
  </si>
  <si>
    <t>易亨公司 合金钢组合辙叉 计件工价 明细表-70</t>
  </si>
  <si>
    <t>型号：60kg/m钢轨9号  图号：研线1609HC-IV  金额：2035.5元/组</t>
  </si>
  <si>
    <t>辙叉垫板下料（5张*1.5，含倒角）</t>
  </si>
  <si>
    <t>辙叉垫板焊接（5张*4.5）</t>
  </si>
  <si>
    <t>序号 8、14垫板轨底坡（2张*15）（含倒角）</t>
  </si>
  <si>
    <t>序号8-14垫板端头缺口铣削（5张*14）（含R5倒角）</t>
  </si>
  <si>
    <t>序号8、14垫板端头厚度铣削（2张*10）（含倒角）</t>
  </si>
  <si>
    <t>序号8-14垫板整体厚度铣削（5张*10）（含倒角）</t>
  </si>
  <si>
    <t>整组60-9# 研线1609HC-IV 辙叉加工费用</t>
  </si>
  <si>
    <t>易亨公司 合金钢组合辙叉 计件工价 明细表-71</t>
  </si>
  <si>
    <r>
      <rPr>
        <b/>
        <sz val="12"/>
        <color theme="1"/>
        <rFont val="仿宋"/>
        <family val="3"/>
        <charset val="134"/>
      </rPr>
      <t>型号：60kg/m钢轨18号  图号：研线 CZ2545HC-</t>
    </r>
    <r>
      <rPr>
        <sz val="11"/>
        <color theme="1"/>
        <rFont val="仿宋"/>
        <family val="3"/>
        <charset val="134"/>
      </rPr>
      <t>Ⅳ</t>
    </r>
    <r>
      <rPr>
        <b/>
        <sz val="12"/>
        <color theme="1"/>
        <rFont val="仿宋"/>
        <family val="3"/>
        <charset val="134"/>
      </rPr>
      <t xml:space="preserve">  金额：3487.6元/组</t>
    </r>
  </si>
  <si>
    <t>叉跟轨扭转（2根，含校直）(无)</t>
  </si>
  <si>
    <t>翼轨轨底铣切3（2根，含倒角）</t>
  </si>
  <si>
    <t>翼轨轨头斜头缓冲段铣切（2根，含倒角）</t>
  </si>
  <si>
    <t>间隔铁钻孔（17*6）</t>
  </si>
  <si>
    <t>间隔铁数控铣削（11*15）（是否有）</t>
  </si>
  <si>
    <t>钢轨垫圈下料（50个*0.3，含倒角）</t>
  </si>
  <si>
    <t>钢轨垫圈钻孔（5个*0.3，含倒角）</t>
  </si>
  <si>
    <t>辙叉垫板下料（13张*1.5，含倒角）</t>
  </si>
  <si>
    <t>两连桥梁垫板焊接（1*18）</t>
  </si>
  <si>
    <t>辙叉垫板划线焊接（13张*6，含焊渣清理）</t>
  </si>
  <si>
    <t>整组60-18# CZ2545HC-IV 辙叉加工费用</t>
  </si>
  <si>
    <t>修订： 李于刚                                                          日期：2025年2月10日</t>
  </si>
  <si>
    <t>易亨公司 合金钢组合辙叉 计件工价 明细表-72</t>
  </si>
  <si>
    <t>工序名称（补漏项）</t>
  </si>
  <si>
    <t>间隔铁铣削【1块*（60+5）】</t>
  </si>
  <si>
    <t>CZ2209-Ⅰ</t>
  </si>
  <si>
    <t>单孔4元，双孔6元</t>
  </si>
  <si>
    <t>装出炉</t>
  </si>
  <si>
    <t>CZ2504-Ⅳ</t>
  </si>
  <si>
    <t>辙叉垫板划线（7张*1.5）</t>
  </si>
  <si>
    <t>整组60-9# CZ2504-IV 辙叉加工费用</t>
  </si>
  <si>
    <t>73</t>
  </si>
  <si>
    <t>新增</t>
    <phoneticPr fontId="23" type="noConversion"/>
  </si>
  <si>
    <t>补漏</t>
    <phoneticPr fontId="23" type="noConversion"/>
  </si>
  <si>
    <t>整理时间：2025-6-3</t>
    <phoneticPr fontId="23" type="noConversion"/>
  </si>
  <si>
    <t>易亨公司 合金钢组合辙叉 计件工价 明细表-73</t>
    <phoneticPr fontId="23" type="noConversion"/>
  </si>
  <si>
    <t>编制： 李于刚                                                          日期：2025年6月3日</t>
    <phoneticPr fontId="23" type="noConversion"/>
  </si>
  <si>
    <t>编制： 李于刚                                                       日期：2025年6月3日</t>
    <phoneticPr fontId="23" type="noConversion"/>
  </si>
  <si>
    <t>编制： 李于刚                                                      日期：2025年6月3日</t>
    <phoneticPr fontId="23" type="noConversion"/>
  </si>
  <si>
    <r>
      <rPr>
        <sz val="12"/>
        <color theme="1"/>
        <rFont val="仿宋"/>
        <family val="3"/>
        <charset val="134"/>
      </rPr>
      <t>序号9-17垫板整体厚度铣削（</t>
    </r>
    <r>
      <rPr>
        <sz val="12"/>
        <color rgb="FFFF0000"/>
        <rFont val="仿宋"/>
        <family val="3"/>
        <charset val="134"/>
      </rPr>
      <t>7张</t>
    </r>
    <r>
      <rPr>
        <sz val="12"/>
        <color theme="1"/>
        <rFont val="仿宋"/>
        <family val="3"/>
        <charset val="134"/>
      </rPr>
      <t>*10）（含倒角）</t>
    </r>
    <phoneticPr fontId="23" type="noConversion"/>
  </si>
  <si>
    <t>型号：60kg/m钢轨9号  图号：CZ2504-Ⅳ  金额：1811元/组</t>
    <phoneticPr fontId="23" type="noConversion"/>
  </si>
  <si>
    <t>编制： 李于刚                                                   日期：2025年6月3日</t>
    <phoneticPr fontId="23" type="noConversion"/>
  </si>
  <si>
    <t>序号8垫板端头厚度铣削（1张*10）（含倒角）</t>
    <phoneticPr fontId="23" type="noConversion"/>
  </si>
  <si>
    <t>辙叉垫板</t>
    <phoneticPr fontId="23" type="noConversion"/>
  </si>
  <si>
    <t>60-12</t>
    <phoneticPr fontId="23" type="noConversion"/>
  </si>
  <si>
    <t>编制： 李于刚                                                            日期：2025年6月3日</t>
    <phoneticPr fontId="23" type="noConversion"/>
  </si>
  <si>
    <t>型号：60kg/m钢轨12号  图号：研线1609HC-I  金额：1942.56元/组</t>
    <phoneticPr fontId="23" type="noConversion"/>
  </si>
  <si>
    <t>1609HC-IV</t>
    <phoneticPr fontId="23" type="noConversion"/>
  </si>
  <si>
    <t>16121HC-IV</t>
    <phoneticPr fontId="23" type="noConversion"/>
  </si>
  <si>
    <t>型号：60kg/m钢轨12号  图号：研线16121HC-IV  金额：2141.5元/组</t>
    <phoneticPr fontId="23" type="noConversion"/>
  </si>
  <si>
    <t>1609HC-I</t>
    <phoneticPr fontId="23" type="noConversion"/>
  </si>
  <si>
    <t>钢轨垫圈加工费用小计</t>
    <phoneticPr fontId="23" type="noConversion"/>
  </si>
  <si>
    <t>编制： 李于刚                                                  日期：2025年6月3日</t>
    <phoneticPr fontId="23" type="noConversion"/>
  </si>
  <si>
    <t>16121HC-I</t>
    <phoneticPr fontId="23" type="noConversion"/>
  </si>
  <si>
    <t>CZ2504-IV</t>
    <phoneticPr fontId="23" type="noConversion"/>
  </si>
  <si>
    <t>辙叉</t>
    <phoneticPr fontId="23" type="noConversion"/>
  </si>
  <si>
    <t>坯料</t>
    <phoneticPr fontId="23" type="noConversion"/>
  </si>
  <si>
    <t>成都地铁  自制间隔铁</t>
    <phoneticPr fontId="23" type="noConversion"/>
  </si>
  <si>
    <t>武汉地铁   自制间隔铁</t>
    <phoneticPr fontId="23" type="noConversion"/>
  </si>
  <si>
    <t>自制间隔铁</t>
    <phoneticPr fontId="23" type="noConversion"/>
  </si>
  <si>
    <t>修订</t>
    <phoneticPr fontId="23" type="noConversion"/>
  </si>
  <si>
    <t>60-9</t>
    <phoneticPr fontId="23" type="noConversion"/>
  </si>
  <si>
    <t>整理： 张小平                                                      日期：2025年6月3日</t>
    <phoneticPr fontId="23" type="noConversion"/>
  </si>
  <si>
    <t>SC330-I/专线4228-I</t>
    <phoneticPr fontId="23" type="noConversion"/>
  </si>
  <si>
    <t>正火装炉2元</t>
    <phoneticPr fontId="23" type="noConversion"/>
  </si>
  <si>
    <t>回火装炉2元</t>
    <phoneticPr fontId="23" type="noConversion"/>
  </si>
  <si>
    <t>淬火出炉</t>
    <phoneticPr fontId="23" type="noConversion"/>
  </si>
  <si>
    <t>退火装炉2元</t>
    <phoneticPr fontId="23" type="noConversion"/>
  </si>
  <si>
    <t>跳线孔和接续线孔</t>
    <phoneticPr fontId="23" type="noConversion"/>
  </si>
  <si>
    <t>扭转垫板</t>
    <phoneticPr fontId="23" type="noConversion"/>
  </si>
  <si>
    <t>跟端垫板</t>
    <phoneticPr fontId="23" type="noConversion"/>
  </si>
  <si>
    <t>趾端垫板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</si>
</sst>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/d;@"/>
  </numFmts>
  <fonts count="28">
    <font>
      <sz val="11"/>
      <color theme="1"/>
      <name val="宋体"/>
      <charset val="134"/>
      <scheme val="minor"/>
    </font>
    <font>
      <sz val="12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b/>
      <sz val="12"/>
      <color rgb="FFFF0000"/>
      <name val="仿宋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仿宋"/>
      <family val="3"/>
      <charset val="134"/>
    </font>
    <font>
      <sz val="12"/>
      <color rgb="FFFF0000"/>
      <name val="仿宋"/>
      <family val="3"/>
      <charset val="134"/>
    </font>
    <font>
      <sz val="12"/>
      <color theme="1"/>
      <name val="Arial"/>
      <family val="2"/>
    </font>
    <font>
      <b/>
      <sz val="12"/>
      <name val="仿宋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4"/>
      <color theme="1"/>
      <name val="仿宋"/>
      <family val="3"/>
      <charset val="134"/>
    </font>
    <font>
      <b/>
      <sz val="10"/>
      <color theme="1"/>
      <name val="方正粗黑宋简体"/>
      <charset val="134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sz val="12"/>
      <name val="仿宋"/>
      <family val="3"/>
      <charset val="134"/>
    </font>
    <font>
      <b/>
      <sz val="12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仿宋"/>
      <family val="3"/>
      <charset val="134"/>
    </font>
    <font>
      <b/>
      <sz val="12"/>
      <name val="仿宋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</borders>
  <cellStyleXfs count="3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51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2" borderId="0" xfId="1" applyFont="1" applyFill="1">
      <alignment vertical="center"/>
    </xf>
    <xf numFmtId="0" fontId="1" fillId="0" borderId="0" xfId="1" applyFont="1">
      <alignment vertical="center"/>
    </xf>
    <xf numFmtId="49" fontId="1" fillId="0" borderId="0" xfId="1" applyNumberFormat="1" applyFont="1">
      <alignment vertical="center"/>
    </xf>
    <xf numFmtId="0" fontId="1" fillId="0" borderId="0" xfId="1" applyFont="1" applyAlignment="1">
      <alignment horizontal="right" vertical="center"/>
    </xf>
    <xf numFmtId="0" fontId="19" fillId="0" borderId="0" xfId="1">
      <alignment vertical="center"/>
    </xf>
    <xf numFmtId="0" fontId="3" fillId="2" borderId="2" xfId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49" fontId="1" fillId="0" borderId="2" xfId="1" applyNumberFormat="1" applyFont="1" applyBorder="1" applyAlignment="1">
      <alignment horizontal="center" vertical="center"/>
    </xf>
    <xf numFmtId="0" fontId="1" fillId="0" borderId="2" xfId="1" applyFont="1" applyBorder="1">
      <alignment vertical="center"/>
    </xf>
    <xf numFmtId="0" fontId="1" fillId="0" borderId="2" xfId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3" borderId="2" xfId="1" applyFont="1" applyFill="1" applyBorder="1" applyAlignment="1">
      <alignment vertical="center" wrapText="1"/>
    </xf>
    <xf numFmtId="0" fontId="3" fillId="0" borderId="2" xfId="1" applyFont="1" applyBorder="1" applyAlignment="1">
      <alignment horizontal="right" vertical="center"/>
    </xf>
    <xf numFmtId="0" fontId="1" fillId="0" borderId="2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" fillId="0" borderId="2" xfId="1" applyFont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4" borderId="2" xfId="1" applyFont="1" applyFill="1" applyBorder="1">
      <alignment vertical="center"/>
    </xf>
    <xf numFmtId="0" fontId="3" fillId="2" borderId="2" xfId="1" applyFont="1" applyFill="1" applyBorder="1" applyAlignment="1">
      <alignment vertical="center" wrapText="1"/>
    </xf>
    <xf numFmtId="0" fontId="3" fillId="2" borderId="2" xfId="1" applyFont="1" applyFill="1" applyBorder="1">
      <alignment vertical="center"/>
    </xf>
    <xf numFmtId="0" fontId="3" fillId="2" borderId="2" xfId="1" applyFont="1" applyFill="1" applyBorder="1" applyAlignment="1">
      <alignment horizontal="right" vertical="center"/>
    </xf>
    <xf numFmtId="0" fontId="1" fillId="4" borderId="2" xfId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vertical="center" wrapText="1"/>
    </xf>
    <xf numFmtId="0" fontId="1" fillId="4" borderId="2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horizontal="left" vertical="center" wrapText="1"/>
    </xf>
    <xf numFmtId="0" fontId="1" fillId="0" borderId="2" xfId="1" applyFont="1" applyBorder="1" applyAlignment="1">
      <alignment horizontal="right" vertical="center" wrapText="1"/>
    </xf>
    <xf numFmtId="0" fontId="6" fillId="0" borderId="2" xfId="1" applyFont="1" applyBorder="1">
      <alignment vertical="center"/>
    </xf>
    <xf numFmtId="0" fontId="3" fillId="2" borderId="2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4" borderId="0" xfId="1" applyFill="1">
      <alignment vertical="center"/>
    </xf>
    <xf numFmtId="0" fontId="19" fillId="2" borderId="2" xfId="1" applyFill="1" applyBorder="1" applyAlignment="1">
      <alignment horizontal="center" vertical="center"/>
    </xf>
    <xf numFmtId="0" fontId="1" fillId="0" borderId="6" xfId="1" applyFont="1" applyBorder="1">
      <alignment vertical="center"/>
    </xf>
    <xf numFmtId="0" fontId="19" fillId="0" borderId="7" xfId="1" applyBorder="1">
      <alignment vertical="center"/>
    </xf>
    <xf numFmtId="0" fontId="3" fillId="0" borderId="2" xfId="1" applyFont="1" applyBorder="1">
      <alignment vertical="center"/>
    </xf>
    <xf numFmtId="0" fontId="1" fillId="2" borderId="2" xfId="1" applyFont="1" applyFill="1" applyBorder="1">
      <alignment vertical="center"/>
    </xf>
    <xf numFmtId="0" fontId="6" fillId="2" borderId="2" xfId="1" applyFont="1" applyFill="1" applyBorder="1">
      <alignment vertical="center"/>
    </xf>
    <xf numFmtId="0" fontId="1" fillId="3" borderId="2" xfId="1" applyFont="1" applyFill="1" applyBorder="1">
      <alignment vertical="center"/>
    </xf>
    <xf numFmtId="0" fontId="6" fillId="4" borderId="2" xfId="1" applyFont="1" applyFill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6" fillId="2" borderId="2" xfId="1" applyFont="1" applyFill="1" applyBorder="1" applyAlignment="1">
      <alignment horizontal="right" vertical="center"/>
    </xf>
    <xf numFmtId="0" fontId="6" fillId="3" borderId="2" xfId="1" applyFont="1" applyFill="1" applyBorder="1">
      <alignment vertical="center"/>
    </xf>
    <xf numFmtId="0" fontId="1" fillId="2" borderId="2" xfId="1" applyFont="1" applyFill="1" applyBorder="1" applyAlignment="1">
      <alignment horizontal="right" vertical="center"/>
    </xf>
    <xf numFmtId="0" fontId="6" fillId="5" borderId="2" xfId="1" applyFont="1" applyFill="1" applyBorder="1">
      <alignment vertical="center"/>
    </xf>
    <xf numFmtId="0" fontId="3" fillId="2" borderId="2" xfId="1" applyFont="1" applyFill="1" applyBorder="1" applyAlignment="1">
      <alignment horizontal="right" vertical="center" wrapText="1"/>
    </xf>
    <xf numFmtId="0" fontId="19" fillId="3" borderId="0" xfId="1" applyFill="1">
      <alignment vertical="center"/>
    </xf>
    <xf numFmtId="0" fontId="6" fillId="0" borderId="2" xfId="1" applyFont="1" applyBorder="1" applyAlignment="1">
      <alignment horizontal="center" vertical="center"/>
    </xf>
    <xf numFmtId="0" fontId="4" fillId="2" borderId="2" xfId="1" applyFont="1" applyFill="1" applyBorder="1">
      <alignment vertical="center"/>
    </xf>
    <xf numFmtId="49" fontId="1" fillId="4" borderId="2" xfId="1" applyNumberFormat="1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8" fillId="0" borderId="0" xfId="1" applyFont="1">
      <alignment vertical="center"/>
    </xf>
    <xf numFmtId="49" fontId="8" fillId="0" borderId="0" xfId="1" applyNumberFormat="1" applyFont="1">
      <alignment vertical="center"/>
    </xf>
    <xf numFmtId="0" fontId="1" fillId="0" borderId="2" xfId="1" applyFont="1" applyBorder="1" applyAlignment="1">
      <alignment horizontal="center" vertical="center" wrapText="1"/>
    </xf>
    <xf numFmtId="0" fontId="9" fillId="2" borderId="2" xfId="1" applyFont="1" applyFill="1" applyBorder="1">
      <alignment vertical="center"/>
    </xf>
    <xf numFmtId="0" fontId="7" fillId="0" borderId="2" xfId="1" applyFont="1" applyBorder="1" applyAlignment="1">
      <alignment vertical="center" wrapText="1"/>
    </xf>
    <xf numFmtId="0" fontId="10" fillId="0" borderId="0" xfId="1" applyFo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6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1" fillId="4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0" borderId="0" xfId="1" applyFont="1" applyAlignment="1">
      <alignment horizontal="center" vertical="center" wrapText="1"/>
    </xf>
    <xf numFmtId="0" fontId="1" fillId="0" borderId="2" xfId="1" applyFont="1" applyBorder="1" applyAlignment="1">
      <alignment horizontal="left" vertical="center" wrapText="1"/>
    </xf>
    <xf numFmtId="0" fontId="11" fillId="6" borderId="0" xfId="1" applyFont="1" applyFill="1">
      <alignment vertical="center"/>
    </xf>
    <xf numFmtId="0" fontId="19" fillId="7" borderId="0" xfId="1" applyFill="1">
      <alignment vertical="center"/>
    </xf>
    <xf numFmtId="0" fontId="1" fillId="0" borderId="4" xfId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0" fontId="13" fillId="0" borderId="0" xfId="0" applyFont="1">
      <alignment vertical="center"/>
    </xf>
    <xf numFmtId="49" fontId="13" fillId="0" borderId="0" xfId="0" applyNumberFormat="1" applyFont="1">
      <alignment vertical="center"/>
    </xf>
    <xf numFmtId="0" fontId="3" fillId="0" borderId="2" xfId="0" applyFont="1" applyBorder="1" applyAlignment="1">
      <alignment vertical="center" wrapText="1"/>
    </xf>
    <xf numFmtId="0" fontId="19" fillId="0" borderId="0" xfId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4" fillId="2" borderId="2" xfId="0" applyFont="1" applyFill="1" applyBorder="1">
      <alignment vertical="center"/>
    </xf>
    <xf numFmtId="0" fontId="14" fillId="0" borderId="0" xfId="0" applyFont="1" applyAlignment="1">
      <alignment vertical="center" wrapText="1"/>
    </xf>
    <xf numFmtId="0" fontId="1" fillId="4" borderId="2" xfId="0" applyFont="1" applyFill="1" applyBorder="1">
      <alignment vertical="center"/>
    </xf>
    <xf numFmtId="0" fontId="1" fillId="4" borderId="2" xfId="0" applyFont="1" applyFill="1" applyBorder="1" applyAlignment="1">
      <alignment horizontal="right" vertical="center"/>
    </xf>
    <xf numFmtId="0" fontId="3" fillId="2" borderId="3" xfId="0" applyFont="1" applyFill="1" applyBorder="1">
      <alignment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8" fillId="0" borderId="0" xfId="0" applyFo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1" xfId="0" applyFont="1" applyBorder="1">
      <alignment vertical="center"/>
    </xf>
    <xf numFmtId="0" fontId="19" fillId="3" borderId="0" xfId="2" applyFill="1">
      <alignment vertical="center"/>
    </xf>
    <xf numFmtId="0" fontId="1" fillId="0" borderId="0" xfId="2" applyFont="1" applyAlignment="1">
      <alignment horizontal="center" vertical="center"/>
    </xf>
    <xf numFmtId="49" fontId="1" fillId="0" borderId="0" xfId="2" applyNumberFormat="1" applyFont="1" applyAlignment="1">
      <alignment horizontal="center" vertical="center"/>
    </xf>
    <xf numFmtId="0" fontId="1" fillId="0" borderId="0" xfId="2" applyFont="1">
      <alignment vertical="center"/>
    </xf>
    <xf numFmtId="0" fontId="19" fillId="0" borderId="0" xfId="2">
      <alignment vertical="center"/>
    </xf>
    <xf numFmtId="0" fontId="3" fillId="2" borderId="2" xfId="2" applyFont="1" applyFill="1" applyBorder="1" applyAlignment="1">
      <alignment horizontal="center" vertical="center"/>
    </xf>
    <xf numFmtId="49" fontId="3" fillId="2" borderId="2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/>
    </xf>
    <xf numFmtId="49" fontId="1" fillId="0" borderId="2" xfId="2" applyNumberFormat="1" applyFont="1" applyBorder="1" applyAlignment="1">
      <alignment horizontal="center" vertical="center"/>
    </xf>
    <xf numFmtId="0" fontId="1" fillId="0" borderId="2" xfId="2" applyFont="1" applyBorder="1">
      <alignment vertical="center"/>
    </xf>
    <xf numFmtId="0" fontId="3" fillId="2" borderId="2" xfId="2" applyFont="1" applyFill="1" applyBorder="1">
      <alignment vertical="center"/>
    </xf>
    <xf numFmtId="0" fontId="3" fillId="2" borderId="2" xfId="2" applyFont="1" applyFill="1" applyBorder="1" applyAlignment="1">
      <alignment vertical="center" wrapText="1"/>
    </xf>
    <xf numFmtId="0" fontId="1" fillId="0" borderId="2" xfId="2" applyFont="1" applyBorder="1" applyAlignment="1">
      <alignment vertical="center" wrapText="1"/>
    </xf>
    <xf numFmtId="0" fontId="3" fillId="2" borderId="2" xfId="2" applyFont="1" applyFill="1" applyBorder="1" applyAlignment="1">
      <alignment horizontal="left" vertical="center"/>
    </xf>
    <xf numFmtId="0" fontId="1" fillId="4" borderId="2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right" vertical="center"/>
    </xf>
    <xf numFmtId="0" fontId="3" fillId="0" borderId="2" xfId="2" applyFont="1" applyBorder="1" applyAlignment="1">
      <alignment horizontal="right" vertical="center"/>
    </xf>
    <xf numFmtId="0" fontId="8" fillId="0" borderId="2" xfId="0" applyFont="1" applyBorder="1">
      <alignment vertical="center"/>
    </xf>
    <xf numFmtId="49" fontId="1" fillId="0" borderId="0" xfId="2" applyNumberFormat="1" applyFont="1">
      <alignment vertical="center"/>
    </xf>
    <xf numFmtId="0" fontId="1" fillId="4" borderId="2" xfId="2" applyFont="1" applyFill="1" applyBorder="1">
      <alignment vertical="center"/>
    </xf>
    <xf numFmtId="0" fontId="1" fillId="0" borderId="0" xfId="2" applyFont="1" applyAlignment="1">
      <alignment horizontal="right" vertical="center"/>
    </xf>
    <xf numFmtId="0" fontId="3" fillId="2" borderId="2" xfId="2" applyFont="1" applyFill="1" applyBorder="1" applyAlignment="1">
      <alignment horizontal="right" vertical="center"/>
    </xf>
    <xf numFmtId="0" fontId="3" fillId="2" borderId="2" xfId="2" applyFont="1" applyFill="1" applyBorder="1" applyAlignment="1">
      <alignment horizontal="right" vertical="center" wrapText="1"/>
    </xf>
    <xf numFmtId="0" fontId="1" fillId="0" borderId="2" xfId="2" applyFont="1" applyBorder="1" applyAlignment="1">
      <alignment horizontal="center" vertical="center" wrapText="1"/>
    </xf>
    <xf numFmtId="0" fontId="1" fillId="4" borderId="2" xfId="2" applyFont="1" applyFill="1" applyBorder="1" applyAlignment="1">
      <alignment horizontal="right" vertical="center"/>
    </xf>
    <xf numFmtId="0" fontId="1" fillId="0" borderId="2" xfId="2" applyFont="1" applyBorder="1" applyAlignment="1">
      <alignment horizontal="right" vertical="center" wrapText="1"/>
    </xf>
    <xf numFmtId="0" fontId="12" fillId="0" borderId="0" xfId="1" applyFont="1">
      <alignment vertical="center"/>
    </xf>
    <xf numFmtId="49" fontId="12" fillId="0" borderId="0" xfId="1" applyNumberFormat="1" applyFont="1">
      <alignment vertical="center"/>
    </xf>
    <xf numFmtId="0" fontId="12" fillId="0" borderId="0" xfId="1" applyFont="1" applyAlignment="1">
      <alignment horizontal="right" vertical="center"/>
    </xf>
    <xf numFmtId="0" fontId="16" fillId="0" borderId="0" xfId="1" applyFont="1">
      <alignment vertical="center"/>
    </xf>
    <xf numFmtId="0" fontId="3" fillId="0" borderId="2" xfId="1" applyFont="1" applyBorder="1" applyAlignment="1">
      <alignment horizontal="right" vertical="center" wrapText="1"/>
    </xf>
    <xf numFmtId="0" fontId="1" fillId="2" borderId="2" xfId="2" applyFont="1" applyFill="1" applyBorder="1">
      <alignment vertical="center"/>
    </xf>
    <xf numFmtId="0" fontId="6" fillId="0" borderId="2" xfId="1" applyFont="1" applyBorder="1" applyAlignment="1">
      <alignment horizontal="right" vertical="center"/>
    </xf>
    <xf numFmtId="14" fontId="1" fillId="0" borderId="2" xfId="1" applyNumberFormat="1" applyFont="1" applyBorder="1">
      <alignment vertical="center"/>
    </xf>
    <xf numFmtId="0" fontId="0" fillId="3" borderId="0" xfId="0" applyFill="1">
      <alignment vertical="center"/>
    </xf>
    <xf numFmtId="176" fontId="1" fillId="0" borderId="0" xfId="0" applyNumberFormat="1" applyFont="1">
      <alignment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" fillId="4" borderId="6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6" fontId="20" fillId="0" borderId="2" xfId="0" applyNumberFormat="1" applyFont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 wrapText="1"/>
    </xf>
    <xf numFmtId="0" fontId="20" fillId="3" borderId="2" xfId="1" applyFont="1" applyFill="1" applyBorder="1" applyAlignment="1">
      <alignment vertical="center" wrapText="1"/>
    </xf>
    <xf numFmtId="0" fontId="20" fillId="2" borderId="2" xfId="1" applyFont="1" applyFill="1" applyBorder="1" applyAlignment="1">
      <alignment vertical="center" wrapText="1"/>
    </xf>
    <xf numFmtId="0" fontId="20" fillId="4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49" fontId="20" fillId="0" borderId="2" xfId="1" applyNumberFormat="1" applyFont="1" applyBorder="1" applyAlignment="1">
      <alignment horizontal="center" vertical="center"/>
    </xf>
    <xf numFmtId="0" fontId="21" fillId="5" borderId="2" xfId="1" applyFont="1" applyFill="1" applyBorder="1">
      <alignment vertical="center"/>
    </xf>
    <xf numFmtId="0" fontId="22" fillId="2" borderId="2" xfId="1" applyFont="1" applyFill="1" applyBorder="1">
      <alignment vertical="center"/>
    </xf>
    <xf numFmtId="0" fontId="19" fillId="0" borderId="2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0" fontId="25" fillId="4" borderId="2" xfId="1" applyFont="1" applyFill="1" applyBorder="1" applyAlignment="1">
      <alignment horizontal="center" vertical="center"/>
    </xf>
    <xf numFmtId="49" fontId="25" fillId="4" borderId="2" xfId="1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 wrapText="1"/>
    </xf>
    <xf numFmtId="0" fontId="24" fillId="4" borderId="2" xfId="1" applyFont="1" applyFill="1" applyBorder="1" applyAlignment="1">
      <alignment horizontal="center" vertical="center"/>
    </xf>
    <xf numFmtId="49" fontId="24" fillId="4" borderId="2" xfId="1" applyNumberFormat="1" applyFont="1" applyFill="1" applyBorder="1" applyAlignment="1">
      <alignment horizontal="center" vertical="center"/>
    </xf>
    <xf numFmtId="0" fontId="24" fillId="4" borderId="2" xfId="1" applyFont="1" applyFill="1" applyBorder="1">
      <alignment vertical="center"/>
    </xf>
    <xf numFmtId="0" fontId="24" fillId="4" borderId="2" xfId="1" applyFont="1" applyFill="1" applyBorder="1" applyAlignment="1">
      <alignment horizontal="right" vertical="center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2" xfId="0" applyNumberFormat="1" applyFont="1" applyFill="1" applyBorder="1" applyAlignment="1">
      <alignment horizontal="center" vertical="center" wrapText="1"/>
    </xf>
    <xf numFmtId="0" fontId="24" fillId="4" borderId="2" xfId="0" applyFont="1" applyFill="1" applyBorder="1">
      <alignment vertical="center"/>
    </xf>
    <xf numFmtId="0" fontId="24" fillId="4" borderId="2" xfId="0" applyFont="1" applyFill="1" applyBorder="1" applyAlignment="1">
      <alignment horizontal="right" vertical="center"/>
    </xf>
    <xf numFmtId="14" fontId="24" fillId="4" borderId="2" xfId="0" applyNumberFormat="1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2" xfId="1" applyFont="1" applyFill="1" applyBorder="1" applyAlignment="1">
      <alignment vertical="center" wrapText="1"/>
    </xf>
    <xf numFmtId="14" fontId="24" fillId="4" borderId="2" xfId="1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/>
    </xf>
    <xf numFmtId="0" fontId="1" fillId="0" borderId="4" xfId="2" applyFont="1" applyBorder="1" applyAlignment="1">
      <alignment horizontal="left" vertical="center"/>
    </xf>
    <xf numFmtId="0" fontId="1" fillId="0" borderId="5" xfId="2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2" fillId="0" borderId="0" xfId="2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2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20" fillId="0" borderId="3" xfId="1" applyFont="1" applyBorder="1" applyAlignment="1">
      <alignment horizontal="left" vertical="center"/>
    </xf>
    <xf numFmtId="0" fontId="22" fillId="0" borderId="1" xfId="1" applyFont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6"/>
  <sheetViews>
    <sheetView view="pageBreakPreview" zoomScale="85" zoomScaleNormal="100" workbookViewId="0">
      <pane ySplit="3" topLeftCell="A67" activePane="bottomLeft" state="frozen"/>
      <selection pane="bottomLeft" activeCell="O61" sqref="O61"/>
    </sheetView>
  </sheetViews>
  <sheetFormatPr defaultColWidth="9" defaultRowHeight="15.75"/>
  <cols>
    <col min="1" max="1" width="4.9296875" style="2" customWidth="1"/>
    <col min="2" max="2" width="7.265625" style="1" customWidth="1"/>
    <col min="3" max="3" width="12.06640625" style="94" customWidth="1"/>
    <col min="4" max="4" width="7.9296875" style="95" customWidth="1"/>
    <col min="5" max="5" width="17.19921875" style="93" customWidth="1"/>
    <col min="6" max="6" width="3.796875" style="94" customWidth="1"/>
    <col min="7" max="7" width="8.46484375" style="78" customWidth="1"/>
    <col min="8" max="8" width="12.46484375" style="73" customWidth="1"/>
    <col min="9" max="9" width="8" style="1" customWidth="1"/>
    <col min="10" max="10" width="9.796875" style="1" customWidth="1"/>
    <col min="11" max="11" width="7.33203125" style="161" customWidth="1"/>
  </cols>
  <sheetData>
    <row r="1" spans="1:11" ht="25.05" customHeight="1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1" ht="20" customHeight="1">
      <c r="A2" s="216" t="s">
        <v>1055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11" s="91" customFormat="1" ht="35.549999999999997" customHeight="1">
      <c r="A3" s="121" t="s">
        <v>1</v>
      </c>
      <c r="B3" s="5" t="s">
        <v>2</v>
      </c>
      <c r="C3" s="5" t="s">
        <v>3</v>
      </c>
      <c r="D3" s="121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179" t="s">
        <v>10</v>
      </c>
      <c r="K3" s="179" t="s">
        <v>11</v>
      </c>
    </row>
    <row r="4" spans="1:11" s="160" customFormat="1" ht="25.05" customHeight="1">
      <c r="A4" s="162" t="s">
        <v>12</v>
      </c>
      <c r="B4" s="197" t="s">
        <v>1076</v>
      </c>
      <c r="C4" s="163" t="s">
        <v>13</v>
      </c>
      <c r="D4" s="164" t="s">
        <v>14</v>
      </c>
      <c r="E4" s="165" t="s">
        <v>15</v>
      </c>
      <c r="F4" s="76" t="s">
        <v>16</v>
      </c>
      <c r="G4" s="110">
        <v>854</v>
      </c>
      <c r="H4" s="163" t="s">
        <v>17</v>
      </c>
      <c r="I4" s="163" t="s">
        <v>18</v>
      </c>
      <c r="J4" s="180">
        <v>45027</v>
      </c>
      <c r="K4" s="180"/>
    </row>
    <row r="5" spans="1:11" s="160" customFormat="1" ht="25.05" customHeight="1">
      <c r="A5" s="162" t="s">
        <v>19</v>
      </c>
      <c r="B5" s="197" t="s">
        <v>1076</v>
      </c>
      <c r="C5" s="163" t="s">
        <v>13</v>
      </c>
      <c r="D5" s="164" t="s">
        <v>20</v>
      </c>
      <c r="E5" s="165" t="s">
        <v>21</v>
      </c>
      <c r="F5" s="76" t="s">
        <v>16</v>
      </c>
      <c r="G5" s="110">
        <v>925</v>
      </c>
      <c r="H5" s="163" t="s">
        <v>17</v>
      </c>
      <c r="I5" s="163" t="s">
        <v>18</v>
      </c>
      <c r="J5" s="180">
        <v>45027</v>
      </c>
      <c r="K5" s="180"/>
    </row>
    <row r="6" spans="1:11" ht="25.05" customHeight="1">
      <c r="A6" s="7" t="s">
        <v>22</v>
      </c>
      <c r="B6" s="197" t="s">
        <v>1076</v>
      </c>
      <c r="C6" s="82" t="s">
        <v>13</v>
      </c>
      <c r="D6" s="24" t="s">
        <v>23</v>
      </c>
      <c r="E6" s="81" t="s">
        <v>24</v>
      </c>
      <c r="F6" s="6" t="s">
        <v>16</v>
      </c>
      <c r="G6" s="25">
        <v>923</v>
      </c>
      <c r="H6" s="82" t="s">
        <v>17</v>
      </c>
      <c r="I6" s="82" t="s">
        <v>25</v>
      </c>
      <c r="J6" s="181">
        <v>45629</v>
      </c>
      <c r="K6" s="181"/>
    </row>
    <row r="7" spans="1:11" s="160" customFormat="1" ht="25.05" customHeight="1">
      <c r="A7" s="162" t="s">
        <v>26</v>
      </c>
      <c r="B7" s="197" t="s">
        <v>1076</v>
      </c>
      <c r="C7" s="167" t="s">
        <v>13</v>
      </c>
      <c r="D7" s="168" t="s">
        <v>23</v>
      </c>
      <c r="E7" s="169" t="s">
        <v>27</v>
      </c>
      <c r="F7" s="166" t="s">
        <v>16</v>
      </c>
      <c r="G7" s="170">
        <v>815</v>
      </c>
      <c r="H7" s="167" t="s">
        <v>28</v>
      </c>
      <c r="I7" s="167" t="s">
        <v>18</v>
      </c>
      <c r="J7" s="182">
        <v>45027</v>
      </c>
      <c r="K7" s="180"/>
    </row>
    <row r="8" spans="1:11" s="160" customFormat="1" ht="25.05" customHeight="1">
      <c r="A8" s="162" t="s">
        <v>29</v>
      </c>
      <c r="B8" s="197" t="s">
        <v>1076</v>
      </c>
      <c r="C8" s="163" t="s">
        <v>13</v>
      </c>
      <c r="D8" s="164" t="s">
        <v>23</v>
      </c>
      <c r="E8" s="165" t="s">
        <v>30</v>
      </c>
      <c r="F8" s="76" t="s">
        <v>16</v>
      </c>
      <c r="G8" s="110">
        <v>855</v>
      </c>
      <c r="H8" s="163" t="s">
        <v>28</v>
      </c>
      <c r="I8" s="163" t="s">
        <v>18</v>
      </c>
      <c r="J8" s="180">
        <v>45027</v>
      </c>
      <c r="K8" s="180"/>
    </row>
    <row r="9" spans="1:11" s="160" customFormat="1" ht="25.05" customHeight="1">
      <c r="A9" s="162" t="s">
        <v>31</v>
      </c>
      <c r="B9" s="197" t="s">
        <v>1076</v>
      </c>
      <c r="C9" s="163" t="s">
        <v>13</v>
      </c>
      <c r="D9" s="164" t="s">
        <v>32</v>
      </c>
      <c r="E9" s="165" t="s">
        <v>33</v>
      </c>
      <c r="F9" s="76" t="s">
        <v>16</v>
      </c>
      <c r="G9" s="110">
        <v>934</v>
      </c>
      <c r="H9" s="163" t="s">
        <v>28</v>
      </c>
      <c r="I9" s="163" t="s">
        <v>18</v>
      </c>
      <c r="J9" s="180">
        <v>45027</v>
      </c>
      <c r="K9" s="180"/>
    </row>
    <row r="10" spans="1:11" s="160" customFormat="1" ht="25.05" customHeight="1">
      <c r="A10" s="162" t="s">
        <v>34</v>
      </c>
      <c r="B10" s="197" t="s">
        <v>1076</v>
      </c>
      <c r="C10" s="163" t="s">
        <v>13</v>
      </c>
      <c r="D10" s="164" t="s">
        <v>32</v>
      </c>
      <c r="E10" s="165" t="s">
        <v>35</v>
      </c>
      <c r="F10" s="76" t="s">
        <v>16</v>
      </c>
      <c r="G10" s="110">
        <v>898</v>
      </c>
      <c r="H10" s="163" t="s">
        <v>28</v>
      </c>
      <c r="I10" s="163" t="s">
        <v>18</v>
      </c>
      <c r="J10" s="180">
        <v>45027</v>
      </c>
      <c r="K10" s="180"/>
    </row>
    <row r="11" spans="1:11" s="160" customFormat="1" ht="25.05" customHeight="1">
      <c r="A11" s="162" t="s">
        <v>34</v>
      </c>
      <c r="B11" s="197" t="s">
        <v>1076</v>
      </c>
      <c r="C11" s="163" t="s">
        <v>13</v>
      </c>
      <c r="D11" s="164" t="s">
        <v>32</v>
      </c>
      <c r="E11" s="165" t="s">
        <v>36</v>
      </c>
      <c r="F11" s="76" t="s">
        <v>16</v>
      </c>
      <c r="G11" s="110">
        <v>898</v>
      </c>
      <c r="H11" s="163" t="s">
        <v>28</v>
      </c>
      <c r="I11" s="163" t="s">
        <v>18</v>
      </c>
      <c r="J11" s="180">
        <v>45027</v>
      </c>
      <c r="K11" s="180"/>
    </row>
    <row r="12" spans="1:11" s="160" customFormat="1" ht="25.05" customHeight="1">
      <c r="A12" s="162" t="s">
        <v>37</v>
      </c>
      <c r="B12" s="197" t="s">
        <v>1076</v>
      </c>
      <c r="C12" s="163" t="s">
        <v>13</v>
      </c>
      <c r="D12" s="164" t="s">
        <v>32</v>
      </c>
      <c r="E12" s="165" t="s">
        <v>38</v>
      </c>
      <c r="F12" s="76" t="s">
        <v>16</v>
      </c>
      <c r="G12" s="110">
        <v>930</v>
      </c>
      <c r="H12" s="163" t="s">
        <v>17</v>
      </c>
      <c r="I12" s="163" t="s">
        <v>18</v>
      </c>
      <c r="J12" s="180">
        <v>45027</v>
      </c>
      <c r="K12" s="180"/>
    </row>
    <row r="13" spans="1:11" s="160" customFormat="1" ht="25.05" customHeight="1">
      <c r="A13" s="162" t="s">
        <v>37</v>
      </c>
      <c r="B13" s="197" t="s">
        <v>1076</v>
      </c>
      <c r="C13" s="163" t="s">
        <v>13</v>
      </c>
      <c r="D13" s="164" t="s">
        <v>32</v>
      </c>
      <c r="E13" s="165" t="s">
        <v>39</v>
      </c>
      <c r="F13" s="76" t="s">
        <v>16</v>
      </c>
      <c r="G13" s="110">
        <v>930</v>
      </c>
      <c r="H13" s="171" t="s">
        <v>17</v>
      </c>
      <c r="I13" s="163" t="s">
        <v>18</v>
      </c>
      <c r="J13" s="180">
        <v>45027</v>
      </c>
      <c r="K13" s="180"/>
    </row>
    <row r="14" spans="1:11" s="160" customFormat="1" ht="25.05" customHeight="1">
      <c r="A14" s="172" t="s">
        <v>40</v>
      </c>
      <c r="B14" s="197" t="s">
        <v>1076</v>
      </c>
      <c r="C14" s="174" t="s">
        <v>13</v>
      </c>
      <c r="D14" s="175" t="s">
        <v>32</v>
      </c>
      <c r="E14" s="176" t="s">
        <v>41</v>
      </c>
      <c r="F14" s="173" t="s">
        <v>16</v>
      </c>
      <c r="G14" s="170">
        <v>938</v>
      </c>
      <c r="H14" s="174" t="s">
        <v>28</v>
      </c>
      <c r="I14" s="174" t="s">
        <v>18</v>
      </c>
      <c r="J14" s="183">
        <v>45027</v>
      </c>
      <c r="K14" s="183"/>
    </row>
    <row r="15" spans="1:11" ht="25.05" customHeight="1">
      <c r="A15" s="7" t="s">
        <v>42</v>
      </c>
      <c r="B15" s="197" t="s">
        <v>1076</v>
      </c>
      <c r="C15" s="82" t="s">
        <v>13</v>
      </c>
      <c r="D15" s="24" t="s">
        <v>32</v>
      </c>
      <c r="E15" s="81" t="s">
        <v>43</v>
      </c>
      <c r="F15" s="6" t="s">
        <v>16</v>
      </c>
      <c r="G15" s="25">
        <v>1010</v>
      </c>
      <c r="H15" s="82" t="s">
        <v>17</v>
      </c>
      <c r="I15" s="82" t="s">
        <v>25</v>
      </c>
      <c r="J15" s="181">
        <v>45629</v>
      </c>
      <c r="K15" s="181"/>
    </row>
    <row r="16" spans="1:11" s="160" customFormat="1" ht="31.05" customHeight="1">
      <c r="A16" s="162" t="s">
        <v>44</v>
      </c>
      <c r="B16" s="76" t="s">
        <v>45</v>
      </c>
      <c r="C16" s="163" t="s">
        <v>13</v>
      </c>
      <c r="D16" s="164" t="s">
        <v>14</v>
      </c>
      <c r="E16" s="165" t="s">
        <v>46</v>
      </c>
      <c r="F16" s="76" t="s">
        <v>16</v>
      </c>
      <c r="G16" s="110">
        <v>2280</v>
      </c>
      <c r="H16" s="198" t="s">
        <v>1080</v>
      </c>
      <c r="I16" s="163" t="s">
        <v>18</v>
      </c>
      <c r="J16" s="180">
        <v>45149</v>
      </c>
      <c r="K16" s="180"/>
    </row>
    <row r="17" spans="1:11" s="160" customFormat="1" ht="25.05" customHeight="1">
      <c r="A17" s="162" t="s">
        <v>47</v>
      </c>
      <c r="B17" s="76" t="s">
        <v>45</v>
      </c>
      <c r="C17" s="163" t="s">
        <v>13</v>
      </c>
      <c r="D17" s="164" t="s">
        <v>23</v>
      </c>
      <c r="E17" s="165" t="s">
        <v>48</v>
      </c>
      <c r="F17" s="76" t="s">
        <v>16</v>
      </c>
      <c r="G17" s="110">
        <v>1771</v>
      </c>
      <c r="H17" s="163"/>
      <c r="I17" s="163" t="s">
        <v>18</v>
      </c>
      <c r="J17" s="180">
        <v>45027</v>
      </c>
      <c r="K17" s="180"/>
    </row>
    <row r="18" spans="1:11" ht="25.05" customHeight="1">
      <c r="A18" s="7" t="s">
        <v>49</v>
      </c>
      <c r="B18" s="6" t="s">
        <v>45</v>
      </c>
      <c r="C18" s="82" t="s">
        <v>13</v>
      </c>
      <c r="D18" s="24" t="s">
        <v>23</v>
      </c>
      <c r="E18" s="81" t="s">
        <v>50</v>
      </c>
      <c r="F18" s="6" t="s">
        <v>16</v>
      </c>
      <c r="G18" s="170">
        <v>1821</v>
      </c>
      <c r="H18" s="82"/>
      <c r="I18" s="82" t="s">
        <v>25</v>
      </c>
      <c r="J18" s="181">
        <v>45629</v>
      </c>
      <c r="K18" s="181"/>
    </row>
    <row r="19" spans="1:11" s="160" customFormat="1" ht="25.05" customHeight="1">
      <c r="A19" s="162" t="s">
        <v>51</v>
      </c>
      <c r="B19" s="76" t="s">
        <v>45</v>
      </c>
      <c r="C19" s="163" t="s">
        <v>13</v>
      </c>
      <c r="D19" s="164" t="s">
        <v>32</v>
      </c>
      <c r="E19" s="165" t="s">
        <v>52</v>
      </c>
      <c r="F19" s="76" t="s">
        <v>16</v>
      </c>
      <c r="G19" s="110">
        <v>1856</v>
      </c>
      <c r="H19" s="163"/>
      <c r="I19" s="163" t="s">
        <v>18</v>
      </c>
      <c r="J19" s="180">
        <v>45027</v>
      </c>
      <c r="K19" s="180"/>
    </row>
    <row r="20" spans="1:11" ht="25.05" customHeight="1">
      <c r="A20" s="172" t="s">
        <v>53</v>
      </c>
      <c r="B20" s="173" t="s">
        <v>45</v>
      </c>
      <c r="C20" s="174" t="s">
        <v>13</v>
      </c>
      <c r="D20" s="175" t="s">
        <v>32</v>
      </c>
      <c r="E20" s="176" t="s">
        <v>54</v>
      </c>
      <c r="F20" s="173" t="s">
        <v>16</v>
      </c>
      <c r="G20" s="170">
        <v>1936</v>
      </c>
      <c r="H20" s="174"/>
      <c r="I20" s="82" t="s">
        <v>25</v>
      </c>
      <c r="J20" s="181">
        <v>45629</v>
      </c>
      <c r="K20" s="183"/>
    </row>
    <row r="21" spans="1:11" s="160" customFormat="1" ht="34.049999999999997" customHeight="1">
      <c r="A21" s="162" t="s">
        <v>55</v>
      </c>
      <c r="B21" s="197" t="s">
        <v>1077</v>
      </c>
      <c r="C21" s="163" t="s">
        <v>56</v>
      </c>
      <c r="D21" s="164" t="s">
        <v>23</v>
      </c>
      <c r="E21" s="165" t="s">
        <v>57</v>
      </c>
      <c r="F21" s="76" t="s">
        <v>16</v>
      </c>
      <c r="G21" s="110">
        <v>344</v>
      </c>
      <c r="H21" s="163" t="s">
        <v>58</v>
      </c>
      <c r="I21" s="163" t="s">
        <v>18</v>
      </c>
      <c r="J21" s="180">
        <v>44620</v>
      </c>
      <c r="K21" s="180"/>
    </row>
    <row r="22" spans="1:11" s="160" customFormat="1" ht="34.5" customHeight="1">
      <c r="A22" s="162" t="s">
        <v>55</v>
      </c>
      <c r="B22" s="197" t="s">
        <v>1077</v>
      </c>
      <c r="C22" s="163" t="s">
        <v>56</v>
      </c>
      <c r="D22" s="164" t="s">
        <v>32</v>
      </c>
      <c r="E22" s="165" t="s">
        <v>59</v>
      </c>
      <c r="F22" s="76" t="s">
        <v>16</v>
      </c>
      <c r="G22" s="110">
        <v>344</v>
      </c>
      <c r="H22" s="163" t="s">
        <v>58</v>
      </c>
      <c r="I22" s="163" t="s">
        <v>18</v>
      </c>
      <c r="J22" s="180">
        <v>44620</v>
      </c>
      <c r="K22" s="180"/>
    </row>
    <row r="23" spans="1:11" s="160" customFormat="1" ht="50" customHeight="1">
      <c r="A23" s="162" t="s">
        <v>60</v>
      </c>
      <c r="B23" s="197" t="s">
        <v>1076</v>
      </c>
      <c r="C23" s="163" t="s">
        <v>13</v>
      </c>
      <c r="D23" s="164" t="s">
        <v>61</v>
      </c>
      <c r="E23" s="165" t="s">
        <v>62</v>
      </c>
      <c r="F23" s="76" t="s">
        <v>16</v>
      </c>
      <c r="G23" s="110">
        <v>1515</v>
      </c>
      <c r="H23" s="163" t="s">
        <v>63</v>
      </c>
      <c r="I23" s="163" t="s">
        <v>18</v>
      </c>
      <c r="J23" s="180">
        <v>45027</v>
      </c>
      <c r="K23" s="180"/>
    </row>
    <row r="24" spans="1:11" s="160" customFormat="1" ht="38" customHeight="1">
      <c r="A24" s="162" t="s">
        <v>64</v>
      </c>
      <c r="B24" s="197" t="s">
        <v>1076</v>
      </c>
      <c r="C24" s="163" t="s">
        <v>13</v>
      </c>
      <c r="D24" s="164" t="s">
        <v>61</v>
      </c>
      <c r="E24" s="165" t="s">
        <v>65</v>
      </c>
      <c r="F24" s="76" t="s">
        <v>16</v>
      </c>
      <c r="G24" s="110">
        <v>1515</v>
      </c>
      <c r="H24" s="198" t="s">
        <v>1078</v>
      </c>
      <c r="I24" s="163" t="s">
        <v>18</v>
      </c>
      <c r="J24" s="180">
        <v>45027</v>
      </c>
      <c r="K24" s="180"/>
    </row>
    <row r="25" spans="1:11" s="160" customFormat="1" ht="25.05" customHeight="1">
      <c r="A25" s="162" t="s">
        <v>66</v>
      </c>
      <c r="B25" s="197" t="s">
        <v>1076</v>
      </c>
      <c r="C25" s="163" t="s">
        <v>13</v>
      </c>
      <c r="D25" s="164" t="s">
        <v>23</v>
      </c>
      <c r="E25" s="165" t="s">
        <v>67</v>
      </c>
      <c r="F25" s="76" t="s">
        <v>16</v>
      </c>
      <c r="G25" s="110">
        <v>870</v>
      </c>
      <c r="H25" s="163" t="s">
        <v>68</v>
      </c>
      <c r="I25" s="163" t="s">
        <v>18</v>
      </c>
      <c r="J25" s="180">
        <v>45027</v>
      </c>
      <c r="K25" s="180"/>
    </row>
    <row r="26" spans="1:11" s="160" customFormat="1" ht="36.5" customHeight="1">
      <c r="A26" s="162" t="s">
        <v>69</v>
      </c>
      <c r="B26" s="197" t="s">
        <v>1076</v>
      </c>
      <c r="C26" s="163" t="s">
        <v>13</v>
      </c>
      <c r="D26" s="164" t="s">
        <v>23</v>
      </c>
      <c r="E26" s="165" t="s">
        <v>65</v>
      </c>
      <c r="F26" s="76" t="s">
        <v>16</v>
      </c>
      <c r="G26" s="110">
        <v>870</v>
      </c>
      <c r="H26" s="163" t="s">
        <v>70</v>
      </c>
      <c r="I26" s="163" t="s">
        <v>18</v>
      </c>
      <c r="J26" s="180">
        <v>45027</v>
      </c>
      <c r="K26" s="180"/>
    </row>
    <row r="27" spans="1:11" s="160" customFormat="1" ht="35" customHeight="1">
      <c r="A27" s="162" t="s">
        <v>71</v>
      </c>
      <c r="B27" s="197" t="s">
        <v>1076</v>
      </c>
      <c r="C27" s="163" t="s">
        <v>13</v>
      </c>
      <c r="D27" s="164" t="s">
        <v>23</v>
      </c>
      <c r="E27" s="165" t="s">
        <v>72</v>
      </c>
      <c r="F27" s="76" t="s">
        <v>16</v>
      </c>
      <c r="G27" s="110">
        <v>1172</v>
      </c>
      <c r="H27" s="163" t="s">
        <v>73</v>
      </c>
      <c r="I27" s="163" t="s">
        <v>18</v>
      </c>
      <c r="J27" s="180">
        <v>45027</v>
      </c>
      <c r="K27" s="180"/>
    </row>
    <row r="28" spans="1:11" s="160" customFormat="1" ht="25.05" customHeight="1">
      <c r="A28" s="162" t="s">
        <v>74</v>
      </c>
      <c r="B28" s="197" t="s">
        <v>1076</v>
      </c>
      <c r="C28" s="163" t="s">
        <v>13</v>
      </c>
      <c r="D28" s="164" t="s">
        <v>32</v>
      </c>
      <c r="E28" s="165" t="s">
        <v>75</v>
      </c>
      <c r="F28" s="76" t="s">
        <v>16</v>
      </c>
      <c r="G28" s="110">
        <v>973</v>
      </c>
      <c r="H28" s="163" t="s">
        <v>76</v>
      </c>
      <c r="I28" s="163" t="s">
        <v>18</v>
      </c>
      <c r="J28" s="180">
        <v>45027</v>
      </c>
      <c r="K28" s="180"/>
    </row>
    <row r="29" spans="1:11" s="160" customFormat="1" ht="25.05" customHeight="1">
      <c r="A29" s="162" t="s">
        <v>77</v>
      </c>
      <c r="B29" s="197" t="s">
        <v>1076</v>
      </c>
      <c r="C29" s="163" t="s">
        <v>13</v>
      </c>
      <c r="D29" s="164" t="s">
        <v>32</v>
      </c>
      <c r="E29" s="165" t="s">
        <v>78</v>
      </c>
      <c r="F29" s="76" t="s">
        <v>16</v>
      </c>
      <c r="G29" s="170">
        <v>983</v>
      </c>
      <c r="H29" s="163" t="s">
        <v>79</v>
      </c>
      <c r="I29" s="163" t="s">
        <v>18</v>
      </c>
      <c r="J29" s="180">
        <v>45027</v>
      </c>
      <c r="K29" s="180"/>
    </row>
    <row r="30" spans="1:11" s="160" customFormat="1" ht="34.5" customHeight="1">
      <c r="A30" s="162" t="s">
        <v>80</v>
      </c>
      <c r="B30" s="197" t="s">
        <v>1076</v>
      </c>
      <c r="C30" s="163" t="s">
        <v>13</v>
      </c>
      <c r="D30" s="164" t="s">
        <v>23</v>
      </c>
      <c r="E30" s="165" t="s">
        <v>81</v>
      </c>
      <c r="F30" s="76" t="s">
        <v>16</v>
      </c>
      <c r="G30" s="110">
        <v>1876</v>
      </c>
      <c r="H30" s="198" t="s">
        <v>1079</v>
      </c>
      <c r="I30" s="163" t="s">
        <v>18</v>
      </c>
      <c r="J30" s="180">
        <v>45027</v>
      </c>
      <c r="K30" s="180"/>
    </row>
    <row r="31" spans="1:11" s="160" customFormat="1" ht="25.05" customHeight="1">
      <c r="A31" s="162" t="s">
        <v>82</v>
      </c>
      <c r="B31" s="197" t="s">
        <v>1076</v>
      </c>
      <c r="C31" s="163" t="s">
        <v>13</v>
      </c>
      <c r="D31" s="164" t="s">
        <v>32</v>
      </c>
      <c r="E31" s="165" t="s">
        <v>83</v>
      </c>
      <c r="F31" s="76" t="s">
        <v>16</v>
      </c>
      <c r="G31" s="110">
        <v>883</v>
      </c>
      <c r="H31" s="163" t="s">
        <v>84</v>
      </c>
      <c r="I31" s="163" t="s">
        <v>18</v>
      </c>
      <c r="J31" s="180">
        <v>45027</v>
      </c>
      <c r="K31" s="180"/>
    </row>
    <row r="32" spans="1:11" s="160" customFormat="1" ht="25.05" customHeight="1">
      <c r="A32" s="162" t="s">
        <v>82</v>
      </c>
      <c r="B32" s="197" t="s">
        <v>1076</v>
      </c>
      <c r="C32" s="163" t="s">
        <v>13</v>
      </c>
      <c r="D32" s="164" t="s">
        <v>32</v>
      </c>
      <c r="E32" s="165" t="s">
        <v>85</v>
      </c>
      <c r="F32" s="76" t="s">
        <v>16</v>
      </c>
      <c r="G32" s="110">
        <v>883</v>
      </c>
      <c r="H32" s="163" t="s">
        <v>84</v>
      </c>
      <c r="I32" s="163" t="s">
        <v>18</v>
      </c>
      <c r="J32" s="180">
        <v>45027</v>
      </c>
      <c r="K32" s="180"/>
    </row>
    <row r="33" spans="1:11" s="160" customFormat="1" ht="25.05" customHeight="1">
      <c r="A33" s="7" t="s">
        <v>86</v>
      </c>
      <c r="B33" s="197" t="s">
        <v>1076</v>
      </c>
      <c r="C33" s="82" t="s">
        <v>13</v>
      </c>
      <c r="D33" s="24" t="s">
        <v>32</v>
      </c>
      <c r="E33" s="81" t="s">
        <v>87</v>
      </c>
      <c r="F33" s="6" t="s">
        <v>16</v>
      </c>
      <c r="G33" s="25">
        <v>923</v>
      </c>
      <c r="H33" s="82" t="s">
        <v>84</v>
      </c>
      <c r="I33" s="82" t="s">
        <v>18</v>
      </c>
      <c r="J33" s="181">
        <v>45027</v>
      </c>
      <c r="K33" s="183"/>
    </row>
    <row r="34" spans="1:11" ht="25.05" customHeight="1">
      <c r="A34" s="172" t="s">
        <v>88</v>
      </c>
      <c r="B34" s="197" t="s">
        <v>1076</v>
      </c>
      <c r="C34" s="174" t="s">
        <v>13</v>
      </c>
      <c r="D34" s="175" t="s">
        <v>23</v>
      </c>
      <c r="E34" s="176" t="s">
        <v>89</v>
      </c>
      <c r="F34" s="173" t="s">
        <v>16</v>
      </c>
      <c r="G34" s="170">
        <v>884</v>
      </c>
      <c r="H34" s="174" t="s">
        <v>90</v>
      </c>
      <c r="I34" s="174" t="s">
        <v>18</v>
      </c>
      <c r="J34" s="183">
        <v>45027</v>
      </c>
      <c r="K34" s="181"/>
    </row>
    <row r="35" spans="1:11" s="160" customFormat="1" ht="30.5" customHeight="1">
      <c r="A35" s="7" t="s">
        <v>91</v>
      </c>
      <c r="B35" s="197" t="s">
        <v>1076</v>
      </c>
      <c r="C35" s="82" t="s">
        <v>13</v>
      </c>
      <c r="D35" s="24" t="s">
        <v>23</v>
      </c>
      <c r="E35" s="81" t="s">
        <v>92</v>
      </c>
      <c r="F35" s="6" t="s">
        <v>16</v>
      </c>
      <c r="G35" s="25">
        <v>1071</v>
      </c>
      <c r="H35" s="82" t="s">
        <v>93</v>
      </c>
      <c r="I35" s="82" t="s">
        <v>18</v>
      </c>
      <c r="J35" s="181">
        <v>45027</v>
      </c>
      <c r="K35" s="181"/>
    </row>
    <row r="36" spans="1:11" s="160" customFormat="1" ht="33.5" customHeight="1">
      <c r="A36" s="7" t="s">
        <v>94</v>
      </c>
      <c r="B36" s="197" t="s">
        <v>1076</v>
      </c>
      <c r="C36" s="82" t="s">
        <v>13</v>
      </c>
      <c r="D36" s="24" t="s">
        <v>23</v>
      </c>
      <c r="E36" s="81" t="s">
        <v>95</v>
      </c>
      <c r="F36" s="6" t="s">
        <v>16</v>
      </c>
      <c r="G36" s="25">
        <v>1199</v>
      </c>
      <c r="H36" s="82" t="s">
        <v>96</v>
      </c>
      <c r="I36" s="82" t="s">
        <v>18</v>
      </c>
      <c r="J36" s="181">
        <v>45027</v>
      </c>
      <c r="K36" s="181"/>
    </row>
    <row r="37" spans="1:11" s="160" customFormat="1" ht="33.5" customHeight="1">
      <c r="A37" s="172" t="s">
        <v>97</v>
      </c>
      <c r="B37" s="197" t="s">
        <v>1076</v>
      </c>
      <c r="C37" s="174" t="s">
        <v>13</v>
      </c>
      <c r="D37" s="175" t="s">
        <v>98</v>
      </c>
      <c r="E37" s="176" t="s">
        <v>99</v>
      </c>
      <c r="F37" s="173" t="s">
        <v>16</v>
      </c>
      <c r="G37" s="170">
        <v>1101</v>
      </c>
      <c r="H37" s="174" t="s">
        <v>100</v>
      </c>
      <c r="I37" s="174" t="s">
        <v>18</v>
      </c>
      <c r="J37" s="183">
        <v>45027</v>
      </c>
      <c r="K37" s="181"/>
    </row>
    <row r="38" spans="1:11" s="160" customFormat="1" ht="32.549999999999997" customHeight="1">
      <c r="A38" s="162" t="s">
        <v>101</v>
      </c>
      <c r="B38" s="76" t="s">
        <v>45</v>
      </c>
      <c r="C38" s="163" t="s">
        <v>13</v>
      </c>
      <c r="D38" s="164" t="s">
        <v>98</v>
      </c>
      <c r="E38" s="165" t="s">
        <v>102</v>
      </c>
      <c r="F38" s="76" t="s">
        <v>16</v>
      </c>
      <c r="G38" s="110">
        <v>2357</v>
      </c>
      <c r="H38" s="163" t="s">
        <v>103</v>
      </c>
      <c r="I38" s="163" t="s">
        <v>18</v>
      </c>
      <c r="J38" s="180">
        <v>45027</v>
      </c>
      <c r="K38" s="180"/>
    </row>
    <row r="39" spans="1:11" s="160" customFormat="1" ht="29.55" customHeight="1">
      <c r="A39" s="162" t="s">
        <v>104</v>
      </c>
      <c r="B39" s="197" t="s">
        <v>1076</v>
      </c>
      <c r="C39" s="163" t="s">
        <v>13</v>
      </c>
      <c r="D39" s="164" t="s">
        <v>23</v>
      </c>
      <c r="E39" s="165" t="s">
        <v>105</v>
      </c>
      <c r="F39" s="76" t="s">
        <v>16</v>
      </c>
      <c r="G39" s="110">
        <v>1012</v>
      </c>
      <c r="H39" s="163" t="s">
        <v>106</v>
      </c>
      <c r="I39" s="163" t="s">
        <v>18</v>
      </c>
      <c r="J39" s="180">
        <v>45027</v>
      </c>
      <c r="K39" s="180"/>
    </row>
    <row r="40" spans="1:11" s="160" customFormat="1" ht="32.549999999999997" customHeight="1">
      <c r="A40" s="162" t="s">
        <v>107</v>
      </c>
      <c r="B40" s="197" t="s">
        <v>1076</v>
      </c>
      <c r="C40" s="163" t="s">
        <v>13</v>
      </c>
      <c r="D40" s="164" t="s">
        <v>23</v>
      </c>
      <c r="E40" s="165" t="s">
        <v>108</v>
      </c>
      <c r="F40" s="76" t="s">
        <v>16</v>
      </c>
      <c r="G40" s="110">
        <v>1023</v>
      </c>
      <c r="H40" s="163" t="s">
        <v>109</v>
      </c>
      <c r="I40" s="163" t="s">
        <v>18</v>
      </c>
      <c r="J40" s="180">
        <v>45027</v>
      </c>
      <c r="K40" s="180"/>
    </row>
    <row r="41" spans="1:11" s="160" customFormat="1" ht="33.5" customHeight="1">
      <c r="A41" s="7" t="s">
        <v>110</v>
      </c>
      <c r="B41" s="197" t="s">
        <v>1076</v>
      </c>
      <c r="C41" s="82" t="s">
        <v>13</v>
      </c>
      <c r="D41" s="24" t="s">
        <v>32</v>
      </c>
      <c r="E41" s="81" t="s">
        <v>111</v>
      </c>
      <c r="F41" s="6" t="s">
        <v>16</v>
      </c>
      <c r="G41" s="25">
        <v>943</v>
      </c>
      <c r="H41" s="82" t="s">
        <v>112</v>
      </c>
      <c r="I41" s="82" t="s">
        <v>18</v>
      </c>
      <c r="J41" s="181">
        <v>45027</v>
      </c>
      <c r="K41" s="183"/>
    </row>
    <row r="42" spans="1:11" s="160" customFormat="1" ht="33.5" customHeight="1">
      <c r="A42" s="7" t="s">
        <v>113</v>
      </c>
      <c r="B42" s="197" t="s">
        <v>1076</v>
      </c>
      <c r="C42" s="82" t="s">
        <v>13</v>
      </c>
      <c r="D42" s="24" t="s">
        <v>32</v>
      </c>
      <c r="E42" s="81" t="s">
        <v>114</v>
      </c>
      <c r="F42" s="6" t="s">
        <v>16</v>
      </c>
      <c r="G42" s="25">
        <v>1452</v>
      </c>
      <c r="H42" s="82" t="s">
        <v>115</v>
      </c>
      <c r="I42" s="82" t="s">
        <v>18</v>
      </c>
      <c r="J42" s="181">
        <v>45027</v>
      </c>
      <c r="K42" s="183"/>
    </row>
    <row r="43" spans="1:11" s="160" customFormat="1" ht="34.5" customHeight="1">
      <c r="A43" s="7" t="s">
        <v>116</v>
      </c>
      <c r="B43" s="6" t="s">
        <v>45</v>
      </c>
      <c r="C43" s="82" t="s">
        <v>13</v>
      </c>
      <c r="D43" s="24" t="s">
        <v>32</v>
      </c>
      <c r="E43" s="81" t="s">
        <v>117</v>
      </c>
      <c r="F43" s="6" t="s">
        <v>16</v>
      </c>
      <c r="G43" s="25">
        <v>1871</v>
      </c>
      <c r="H43" s="82" t="s">
        <v>118</v>
      </c>
      <c r="I43" s="82" t="s">
        <v>18</v>
      </c>
      <c r="J43" s="181">
        <v>45027</v>
      </c>
      <c r="K43" s="181"/>
    </row>
    <row r="44" spans="1:11" s="160" customFormat="1" ht="31.05" customHeight="1">
      <c r="A44" s="7" t="s">
        <v>119</v>
      </c>
      <c r="B44" s="196" t="s">
        <v>1076</v>
      </c>
      <c r="C44" s="82" t="s">
        <v>13</v>
      </c>
      <c r="D44" s="24" t="s">
        <v>120</v>
      </c>
      <c r="E44" s="81" t="s">
        <v>121</v>
      </c>
      <c r="F44" s="6" t="s">
        <v>16</v>
      </c>
      <c r="G44" s="25">
        <v>1086</v>
      </c>
      <c r="H44" s="82" t="s">
        <v>122</v>
      </c>
      <c r="I44" s="82" t="s">
        <v>18</v>
      </c>
      <c r="J44" s="181">
        <v>45027</v>
      </c>
      <c r="K44" s="181"/>
    </row>
    <row r="45" spans="1:11" s="160" customFormat="1" ht="32.549999999999997" customHeight="1">
      <c r="A45" s="7" t="s">
        <v>123</v>
      </c>
      <c r="B45" s="6" t="s">
        <v>45</v>
      </c>
      <c r="C45" s="82" t="s">
        <v>13</v>
      </c>
      <c r="D45" s="24" t="s">
        <v>120</v>
      </c>
      <c r="E45" s="81" t="s">
        <v>124</v>
      </c>
      <c r="F45" s="6" t="s">
        <v>16</v>
      </c>
      <c r="G45" s="25">
        <v>2388</v>
      </c>
      <c r="H45" s="82" t="s">
        <v>125</v>
      </c>
      <c r="I45" s="82" t="s">
        <v>18</v>
      </c>
      <c r="J45" s="181">
        <v>45027</v>
      </c>
      <c r="K45" s="184"/>
    </row>
    <row r="46" spans="1:11" s="160" customFormat="1" ht="25.05" customHeight="1">
      <c r="A46" s="162" t="s">
        <v>126</v>
      </c>
      <c r="B46" s="76" t="s">
        <v>45</v>
      </c>
      <c r="C46" s="163" t="s">
        <v>13</v>
      </c>
      <c r="D46" s="164" t="s">
        <v>127</v>
      </c>
      <c r="E46" s="165" t="s">
        <v>128</v>
      </c>
      <c r="F46" s="76" t="s">
        <v>16</v>
      </c>
      <c r="G46" s="170">
        <v>4321</v>
      </c>
      <c r="H46" s="163"/>
      <c r="I46" s="163" t="s">
        <v>18</v>
      </c>
      <c r="J46" s="180">
        <v>45027</v>
      </c>
      <c r="K46" s="180"/>
    </row>
    <row r="47" spans="1:11" s="160" customFormat="1" ht="31.05" customHeight="1">
      <c r="A47" s="7" t="s">
        <v>129</v>
      </c>
      <c r="B47" s="6" t="s">
        <v>45</v>
      </c>
      <c r="C47" s="82" t="s">
        <v>13</v>
      </c>
      <c r="D47" s="24" t="s">
        <v>127</v>
      </c>
      <c r="E47" s="81" t="s">
        <v>130</v>
      </c>
      <c r="F47" s="6" t="s">
        <v>16</v>
      </c>
      <c r="G47" s="25">
        <v>4440</v>
      </c>
      <c r="H47" s="82" t="s">
        <v>131</v>
      </c>
      <c r="I47" s="82" t="s">
        <v>25</v>
      </c>
      <c r="J47" s="181">
        <v>45307</v>
      </c>
      <c r="K47" s="181"/>
    </row>
    <row r="48" spans="1:11" s="160" customFormat="1" ht="25.05" customHeight="1">
      <c r="A48" s="162" t="s">
        <v>132</v>
      </c>
      <c r="B48" s="76" t="s">
        <v>45</v>
      </c>
      <c r="C48" s="163" t="s">
        <v>13</v>
      </c>
      <c r="D48" s="164" t="s">
        <v>133</v>
      </c>
      <c r="E48" s="165" t="s">
        <v>134</v>
      </c>
      <c r="F48" s="76" t="s">
        <v>16</v>
      </c>
      <c r="G48" s="110">
        <v>2287</v>
      </c>
      <c r="H48" s="163" t="s">
        <v>135</v>
      </c>
      <c r="I48" s="163" t="s">
        <v>18</v>
      </c>
      <c r="J48" s="180">
        <v>45154</v>
      </c>
      <c r="K48" s="180"/>
    </row>
    <row r="49" spans="1:11" s="160" customFormat="1" ht="25.05" customHeight="1">
      <c r="A49" s="162" t="s">
        <v>136</v>
      </c>
      <c r="B49" s="76" t="s">
        <v>45</v>
      </c>
      <c r="C49" s="163" t="s">
        <v>13</v>
      </c>
      <c r="D49" s="164" t="s">
        <v>133</v>
      </c>
      <c r="E49" s="165" t="s">
        <v>137</v>
      </c>
      <c r="F49" s="76" t="s">
        <v>16</v>
      </c>
      <c r="G49" s="110">
        <v>3635</v>
      </c>
      <c r="H49" s="163" t="s">
        <v>138</v>
      </c>
      <c r="I49" s="163" t="s">
        <v>18</v>
      </c>
      <c r="J49" s="180">
        <v>45154</v>
      </c>
      <c r="K49" s="180"/>
    </row>
    <row r="50" spans="1:11" s="160" customFormat="1" ht="25.05" customHeight="1">
      <c r="A50" s="162" t="s">
        <v>139</v>
      </c>
      <c r="B50" s="197" t="s">
        <v>1077</v>
      </c>
      <c r="C50" s="163" t="s">
        <v>140</v>
      </c>
      <c r="D50" s="164" t="s">
        <v>127</v>
      </c>
      <c r="E50" s="165" t="s">
        <v>141</v>
      </c>
      <c r="F50" s="76" t="s">
        <v>142</v>
      </c>
      <c r="G50" s="110">
        <v>335</v>
      </c>
      <c r="H50" s="163" t="s">
        <v>143</v>
      </c>
      <c r="I50" s="163" t="s">
        <v>18</v>
      </c>
      <c r="J50" s="180">
        <v>45095</v>
      </c>
      <c r="K50" s="180"/>
    </row>
    <row r="51" spans="1:11" s="160" customFormat="1" ht="25.05" customHeight="1">
      <c r="A51" s="162" t="s">
        <v>139</v>
      </c>
      <c r="B51" s="197" t="s">
        <v>1077</v>
      </c>
      <c r="C51" s="163" t="s">
        <v>144</v>
      </c>
      <c r="D51" s="164" t="s">
        <v>127</v>
      </c>
      <c r="E51" s="165" t="s">
        <v>141</v>
      </c>
      <c r="F51" s="76" t="s">
        <v>16</v>
      </c>
      <c r="G51" s="110">
        <v>674</v>
      </c>
      <c r="H51" s="163" t="s">
        <v>143</v>
      </c>
      <c r="I51" s="163" t="s">
        <v>18</v>
      </c>
      <c r="J51" s="180">
        <v>45095</v>
      </c>
      <c r="K51" s="180"/>
    </row>
    <row r="52" spans="1:11" s="160" customFormat="1" ht="25.05" customHeight="1">
      <c r="A52" s="162" t="s">
        <v>145</v>
      </c>
      <c r="B52" s="197" t="s">
        <v>1077</v>
      </c>
      <c r="C52" s="163" t="s">
        <v>144</v>
      </c>
      <c r="D52" s="164" t="s">
        <v>127</v>
      </c>
      <c r="E52" s="165" t="s">
        <v>146</v>
      </c>
      <c r="F52" s="76" t="s">
        <v>16</v>
      </c>
      <c r="G52" s="110">
        <v>689</v>
      </c>
      <c r="H52" s="163" t="s">
        <v>143</v>
      </c>
      <c r="I52" s="163" t="s">
        <v>18</v>
      </c>
      <c r="J52" s="180">
        <v>45111</v>
      </c>
      <c r="K52" s="180"/>
    </row>
    <row r="53" spans="1:11" s="160" customFormat="1" ht="25.05" customHeight="1">
      <c r="A53" s="162" t="s">
        <v>147</v>
      </c>
      <c r="B53" s="197" t="s">
        <v>1077</v>
      </c>
      <c r="C53" s="163" t="s">
        <v>140</v>
      </c>
      <c r="D53" s="164" t="s">
        <v>127</v>
      </c>
      <c r="E53" s="165" t="s">
        <v>148</v>
      </c>
      <c r="F53" s="76" t="s">
        <v>142</v>
      </c>
      <c r="G53" s="110">
        <v>368</v>
      </c>
      <c r="H53" s="163" t="s">
        <v>143</v>
      </c>
      <c r="I53" s="163" t="s">
        <v>18</v>
      </c>
      <c r="J53" s="180">
        <v>45095</v>
      </c>
      <c r="K53" s="180"/>
    </row>
    <row r="54" spans="1:11" s="160" customFormat="1" ht="25.05" customHeight="1">
      <c r="A54" s="162" t="s">
        <v>147</v>
      </c>
      <c r="B54" s="197" t="s">
        <v>1077</v>
      </c>
      <c r="C54" s="163" t="s">
        <v>144</v>
      </c>
      <c r="D54" s="164" t="s">
        <v>127</v>
      </c>
      <c r="E54" s="165" t="s">
        <v>148</v>
      </c>
      <c r="F54" s="76" t="s">
        <v>16</v>
      </c>
      <c r="G54" s="110">
        <v>694</v>
      </c>
      <c r="H54" s="163" t="s">
        <v>143</v>
      </c>
      <c r="I54" s="163" t="s">
        <v>18</v>
      </c>
      <c r="J54" s="180">
        <v>45095</v>
      </c>
      <c r="K54" s="180"/>
    </row>
    <row r="55" spans="1:11" ht="25.05" customHeight="1">
      <c r="A55" s="162" t="s">
        <v>149</v>
      </c>
      <c r="B55" s="6"/>
      <c r="C55" s="82" t="s">
        <v>150</v>
      </c>
      <c r="D55" s="24"/>
      <c r="E55" s="81" t="s">
        <v>151</v>
      </c>
      <c r="F55" s="76" t="s">
        <v>16</v>
      </c>
      <c r="G55" s="25"/>
      <c r="H55" s="82"/>
      <c r="I55" s="163" t="s">
        <v>18</v>
      </c>
      <c r="J55" s="180">
        <v>45154</v>
      </c>
      <c r="K55" s="180"/>
    </row>
    <row r="56" spans="1:11" s="160" customFormat="1" ht="25.05" customHeight="1">
      <c r="A56" s="7" t="s">
        <v>152</v>
      </c>
      <c r="B56" s="196" t="s">
        <v>1076</v>
      </c>
      <c r="C56" s="82" t="s">
        <v>13</v>
      </c>
      <c r="D56" s="24" t="s">
        <v>32</v>
      </c>
      <c r="E56" s="81" t="s">
        <v>153</v>
      </c>
      <c r="F56" s="6" t="s">
        <v>16</v>
      </c>
      <c r="G56" s="25">
        <v>1004</v>
      </c>
      <c r="H56" s="82"/>
      <c r="I56" s="82" t="s">
        <v>25</v>
      </c>
      <c r="J56" s="181">
        <v>45307</v>
      </c>
      <c r="K56" s="181"/>
    </row>
    <row r="57" spans="1:11" s="160" customFormat="1" ht="25.05" customHeight="1">
      <c r="A57" s="172" t="s">
        <v>154</v>
      </c>
      <c r="B57" s="173" t="s">
        <v>45</v>
      </c>
      <c r="C57" s="174" t="s">
        <v>13</v>
      </c>
      <c r="D57" s="175" t="s">
        <v>32</v>
      </c>
      <c r="E57" s="176" t="s">
        <v>155</v>
      </c>
      <c r="F57" s="173" t="s">
        <v>16</v>
      </c>
      <c r="G57" s="170">
        <v>2495</v>
      </c>
      <c r="H57" s="174"/>
      <c r="I57" s="174" t="s">
        <v>25</v>
      </c>
      <c r="J57" s="183">
        <v>45307</v>
      </c>
      <c r="K57" s="181"/>
    </row>
    <row r="58" spans="1:11" s="160" customFormat="1" ht="25.05" customHeight="1">
      <c r="A58" s="7" t="s">
        <v>156</v>
      </c>
      <c r="B58" s="6" t="s">
        <v>45</v>
      </c>
      <c r="C58" s="82" t="s">
        <v>13</v>
      </c>
      <c r="D58" s="24" t="s">
        <v>32</v>
      </c>
      <c r="E58" s="177" t="s">
        <v>157</v>
      </c>
      <c r="F58" s="178" t="s">
        <v>16</v>
      </c>
      <c r="G58" s="25">
        <v>1977</v>
      </c>
      <c r="H58" s="82"/>
      <c r="I58" s="82" t="s">
        <v>25</v>
      </c>
      <c r="J58" s="181">
        <v>45307</v>
      </c>
      <c r="K58" s="183"/>
    </row>
    <row r="59" spans="1:11" s="160" customFormat="1" ht="25.05" customHeight="1">
      <c r="A59" s="7" t="s">
        <v>158</v>
      </c>
      <c r="B59" s="196" t="s">
        <v>1076</v>
      </c>
      <c r="C59" s="82" t="s">
        <v>13</v>
      </c>
      <c r="D59" s="24" t="s">
        <v>23</v>
      </c>
      <c r="E59" s="81" t="s">
        <v>159</v>
      </c>
      <c r="F59" s="6" t="s">
        <v>16</v>
      </c>
      <c r="G59" s="25">
        <v>846</v>
      </c>
      <c r="H59" s="82"/>
      <c r="I59" s="82" t="s">
        <v>25</v>
      </c>
      <c r="J59" s="181">
        <v>45307</v>
      </c>
      <c r="K59" s="180"/>
    </row>
    <row r="60" spans="1:11" s="160" customFormat="1" ht="25.05" customHeight="1">
      <c r="A60" s="7" t="s">
        <v>160</v>
      </c>
      <c r="B60" s="6" t="s">
        <v>45</v>
      </c>
      <c r="C60" s="82" t="s">
        <v>13</v>
      </c>
      <c r="D60" s="24" t="s">
        <v>23</v>
      </c>
      <c r="E60" s="81" t="s">
        <v>161</v>
      </c>
      <c r="F60" s="6" t="s">
        <v>16</v>
      </c>
      <c r="G60" s="25">
        <v>1804</v>
      </c>
      <c r="H60" s="82"/>
      <c r="I60" s="82" t="s">
        <v>25</v>
      </c>
      <c r="J60" s="181">
        <v>45307</v>
      </c>
      <c r="K60" s="180"/>
    </row>
    <row r="61" spans="1:11" s="160" customFormat="1" ht="25.05" customHeight="1">
      <c r="A61" s="7" t="s">
        <v>162</v>
      </c>
      <c r="B61" s="6" t="s">
        <v>45</v>
      </c>
      <c r="C61" s="82" t="s">
        <v>13</v>
      </c>
      <c r="D61" s="24" t="s">
        <v>32</v>
      </c>
      <c r="E61" s="81" t="s">
        <v>163</v>
      </c>
      <c r="F61" s="6" t="s">
        <v>16</v>
      </c>
      <c r="G61" s="25">
        <v>1937</v>
      </c>
      <c r="H61" s="82"/>
      <c r="I61" s="82" t="s">
        <v>25</v>
      </c>
      <c r="J61" s="181">
        <v>45307</v>
      </c>
      <c r="K61" s="180"/>
    </row>
    <row r="62" spans="1:11" s="160" customFormat="1" ht="25.05" customHeight="1">
      <c r="A62" s="7" t="s">
        <v>164</v>
      </c>
      <c r="B62" s="6" t="s">
        <v>45</v>
      </c>
      <c r="C62" s="82" t="s">
        <v>13</v>
      </c>
      <c r="D62" s="24" t="s">
        <v>32</v>
      </c>
      <c r="E62" s="81" t="s">
        <v>165</v>
      </c>
      <c r="F62" s="6" t="s">
        <v>16</v>
      </c>
      <c r="G62" s="25">
        <v>1856</v>
      </c>
      <c r="H62" s="82"/>
      <c r="I62" s="82" t="s">
        <v>25</v>
      </c>
      <c r="J62" s="181">
        <v>45307</v>
      </c>
      <c r="K62" s="180"/>
    </row>
    <row r="63" spans="1:11" s="160" customFormat="1" ht="25.05" customHeight="1">
      <c r="A63" s="7" t="s">
        <v>166</v>
      </c>
      <c r="B63" s="196" t="s">
        <v>1076</v>
      </c>
      <c r="C63" s="82" t="s">
        <v>13</v>
      </c>
      <c r="D63" s="24" t="s">
        <v>32</v>
      </c>
      <c r="E63" s="81" t="s">
        <v>167</v>
      </c>
      <c r="F63" s="6" t="s">
        <v>16</v>
      </c>
      <c r="G63" s="25">
        <v>883</v>
      </c>
      <c r="H63" s="6"/>
      <c r="I63" s="82" t="s">
        <v>25</v>
      </c>
      <c r="J63" s="181">
        <v>45307</v>
      </c>
      <c r="K63" s="180"/>
    </row>
    <row r="64" spans="1:11" s="160" customFormat="1" ht="25.05" customHeight="1">
      <c r="A64" s="7" t="s">
        <v>168</v>
      </c>
      <c r="B64" s="196" t="s">
        <v>1076</v>
      </c>
      <c r="C64" s="82" t="s">
        <v>13</v>
      </c>
      <c r="D64" s="24" t="s">
        <v>32</v>
      </c>
      <c r="E64" s="81" t="s">
        <v>169</v>
      </c>
      <c r="F64" s="6" t="s">
        <v>16</v>
      </c>
      <c r="G64" s="25">
        <v>1011</v>
      </c>
      <c r="H64" s="6"/>
      <c r="I64" s="82" t="s">
        <v>25</v>
      </c>
      <c r="J64" s="181">
        <v>45307</v>
      </c>
      <c r="K64" s="180"/>
    </row>
    <row r="65" spans="1:11" s="160" customFormat="1" ht="25.05" customHeight="1">
      <c r="A65" s="7" t="s">
        <v>170</v>
      </c>
      <c r="B65" s="6" t="s">
        <v>45</v>
      </c>
      <c r="C65" s="82" t="s">
        <v>13</v>
      </c>
      <c r="D65" s="24" t="s">
        <v>32</v>
      </c>
      <c r="E65" s="81" t="s">
        <v>171</v>
      </c>
      <c r="F65" s="6" t="s">
        <v>16</v>
      </c>
      <c r="G65" s="25">
        <v>1977</v>
      </c>
      <c r="H65" s="6"/>
      <c r="I65" s="82" t="s">
        <v>25</v>
      </c>
      <c r="J65" s="181">
        <v>45460</v>
      </c>
      <c r="K65" s="181"/>
    </row>
    <row r="66" spans="1:11" s="160" customFormat="1" ht="25.05" customHeight="1">
      <c r="A66" s="7" t="s">
        <v>172</v>
      </c>
      <c r="B66" s="6" t="s">
        <v>45</v>
      </c>
      <c r="C66" s="82" t="s">
        <v>13</v>
      </c>
      <c r="D66" s="24" t="s">
        <v>32</v>
      </c>
      <c r="E66" s="81" t="s">
        <v>173</v>
      </c>
      <c r="F66" s="6" t="s">
        <v>16</v>
      </c>
      <c r="G66" s="25">
        <v>1897</v>
      </c>
      <c r="H66" s="6"/>
      <c r="I66" s="82" t="s">
        <v>25</v>
      </c>
      <c r="J66" s="181">
        <v>45460</v>
      </c>
      <c r="K66" s="181"/>
    </row>
    <row r="67" spans="1:11" s="160" customFormat="1" ht="25.05" customHeight="1">
      <c r="A67" s="7" t="s">
        <v>174</v>
      </c>
      <c r="B67" s="196" t="s">
        <v>1076</v>
      </c>
      <c r="C67" s="82" t="s">
        <v>13</v>
      </c>
      <c r="D67" s="24" t="s">
        <v>23</v>
      </c>
      <c r="E67" s="81" t="s">
        <v>175</v>
      </c>
      <c r="F67" s="6" t="s">
        <v>16</v>
      </c>
      <c r="G67" s="25">
        <v>1199</v>
      </c>
      <c r="H67" s="6"/>
      <c r="I67" s="82" t="s">
        <v>25</v>
      </c>
      <c r="J67" s="181">
        <v>45460</v>
      </c>
      <c r="K67" s="181"/>
    </row>
    <row r="68" spans="1:11" s="160" customFormat="1" ht="25.05" customHeight="1">
      <c r="A68" s="7" t="s">
        <v>176</v>
      </c>
      <c r="B68" s="6" t="s">
        <v>45</v>
      </c>
      <c r="C68" s="82" t="s">
        <v>13</v>
      </c>
      <c r="D68" s="24" t="s">
        <v>32</v>
      </c>
      <c r="E68" s="81" t="s">
        <v>177</v>
      </c>
      <c r="F68" s="6" t="s">
        <v>16</v>
      </c>
      <c r="G68" s="25">
        <v>1856</v>
      </c>
      <c r="H68" s="6"/>
      <c r="I68" s="82" t="s">
        <v>25</v>
      </c>
      <c r="J68" s="181">
        <v>45460</v>
      </c>
      <c r="K68" s="181"/>
    </row>
    <row r="69" spans="1:11" s="160" customFormat="1" ht="25.05" customHeight="1">
      <c r="A69" s="7" t="s">
        <v>178</v>
      </c>
      <c r="B69" s="196" t="s">
        <v>1076</v>
      </c>
      <c r="C69" s="82" t="s">
        <v>13</v>
      </c>
      <c r="D69" s="24" t="s">
        <v>23</v>
      </c>
      <c r="E69" s="81" t="s">
        <v>179</v>
      </c>
      <c r="F69" s="6" t="s">
        <v>16</v>
      </c>
      <c r="G69" s="25">
        <v>844.5</v>
      </c>
      <c r="H69" s="6"/>
      <c r="I69" s="82" t="s">
        <v>25</v>
      </c>
      <c r="J69" s="181">
        <v>45490</v>
      </c>
      <c r="K69" s="181"/>
    </row>
    <row r="70" spans="1:11" s="160" customFormat="1" ht="25.05" customHeight="1">
      <c r="A70" s="7" t="s">
        <v>180</v>
      </c>
      <c r="B70" s="6" t="s">
        <v>45</v>
      </c>
      <c r="C70" s="82" t="s">
        <v>13</v>
      </c>
      <c r="D70" s="24" t="s">
        <v>32</v>
      </c>
      <c r="E70" s="81" t="s">
        <v>181</v>
      </c>
      <c r="F70" s="6" t="s">
        <v>16</v>
      </c>
      <c r="G70" s="25">
        <v>2538</v>
      </c>
      <c r="H70" s="6"/>
      <c r="I70" s="82" t="s">
        <v>25</v>
      </c>
      <c r="J70" s="181">
        <v>45490</v>
      </c>
      <c r="K70" s="181"/>
    </row>
    <row r="71" spans="1:11" s="160" customFormat="1" ht="25.05" customHeight="1">
      <c r="A71" s="7" t="s">
        <v>182</v>
      </c>
      <c r="B71" s="6" t="s">
        <v>45</v>
      </c>
      <c r="C71" s="82" t="s">
        <v>13</v>
      </c>
      <c r="D71" s="24" t="s">
        <v>32</v>
      </c>
      <c r="E71" s="81" t="s">
        <v>183</v>
      </c>
      <c r="F71" s="6" t="s">
        <v>16</v>
      </c>
      <c r="G71" s="25">
        <v>1856</v>
      </c>
      <c r="H71" s="6"/>
      <c r="I71" s="82" t="s">
        <v>25</v>
      </c>
      <c r="J71" s="181">
        <v>45490</v>
      </c>
      <c r="K71" s="181"/>
    </row>
    <row r="72" spans="1:11" s="160" customFormat="1" ht="25.05" customHeight="1">
      <c r="A72" s="7" t="s">
        <v>184</v>
      </c>
      <c r="B72" s="196" t="s">
        <v>1076</v>
      </c>
      <c r="C72" s="82" t="s">
        <v>13</v>
      </c>
      <c r="D72" s="24" t="s">
        <v>23</v>
      </c>
      <c r="E72" s="81" t="s">
        <v>159</v>
      </c>
      <c r="F72" s="6" t="s">
        <v>16</v>
      </c>
      <c r="G72" s="25">
        <v>931</v>
      </c>
      <c r="H72" s="6"/>
      <c r="I72" s="82" t="s">
        <v>25</v>
      </c>
      <c r="J72" s="181">
        <v>45490</v>
      </c>
      <c r="K72" s="181"/>
    </row>
    <row r="73" spans="1:11" s="160" customFormat="1" ht="25.05" customHeight="1">
      <c r="A73" s="7" t="s">
        <v>185</v>
      </c>
      <c r="B73" s="196" t="s">
        <v>1076</v>
      </c>
      <c r="C73" s="82" t="s">
        <v>13</v>
      </c>
      <c r="D73" s="24" t="s">
        <v>23</v>
      </c>
      <c r="E73" s="81" t="s">
        <v>27</v>
      </c>
      <c r="F73" s="6" t="s">
        <v>16</v>
      </c>
      <c r="G73" s="25">
        <v>834</v>
      </c>
      <c r="H73" s="6"/>
      <c r="I73" s="82" t="s">
        <v>25</v>
      </c>
      <c r="J73" s="181">
        <v>45490</v>
      </c>
      <c r="K73" s="181"/>
    </row>
    <row r="74" spans="1:11" s="160" customFormat="1" ht="25.05" customHeight="1">
      <c r="A74" s="7" t="s">
        <v>186</v>
      </c>
      <c r="B74" s="196" t="s">
        <v>1076</v>
      </c>
      <c r="C74" s="82" t="s">
        <v>13</v>
      </c>
      <c r="D74" s="24" t="s">
        <v>14</v>
      </c>
      <c r="E74" s="81" t="s">
        <v>15</v>
      </c>
      <c r="F74" s="6" t="s">
        <v>16</v>
      </c>
      <c r="G74" s="25">
        <v>897</v>
      </c>
      <c r="H74" s="6"/>
      <c r="I74" s="82" t="s">
        <v>25</v>
      </c>
      <c r="J74" s="181">
        <v>45629</v>
      </c>
      <c r="K74" s="181"/>
    </row>
    <row r="75" spans="1:11" s="160" customFormat="1" ht="25.05" customHeight="1">
      <c r="A75" s="7" t="s">
        <v>187</v>
      </c>
      <c r="B75" s="196" t="s">
        <v>1076</v>
      </c>
      <c r="C75" s="82" t="s">
        <v>13</v>
      </c>
      <c r="D75" s="24" t="s">
        <v>23</v>
      </c>
      <c r="E75" s="81" t="s">
        <v>188</v>
      </c>
      <c r="F75" s="6" t="s">
        <v>16</v>
      </c>
      <c r="G75" s="25">
        <v>888.56</v>
      </c>
      <c r="H75" s="6"/>
      <c r="I75" s="82" t="s">
        <v>25</v>
      </c>
      <c r="J75" s="181">
        <v>45594</v>
      </c>
      <c r="K75" s="181"/>
    </row>
    <row r="76" spans="1:11" s="160" customFormat="1" ht="25.05" customHeight="1">
      <c r="A76" s="7" t="s">
        <v>189</v>
      </c>
      <c r="B76" s="196" t="s">
        <v>1076</v>
      </c>
      <c r="C76" s="82" t="s">
        <v>13</v>
      </c>
      <c r="D76" s="24" t="s">
        <v>32</v>
      </c>
      <c r="E76" s="81" t="s">
        <v>190</v>
      </c>
      <c r="F76" s="6" t="s">
        <v>16</v>
      </c>
      <c r="G76" s="25">
        <v>2062.7399999999998</v>
      </c>
      <c r="H76" s="6"/>
      <c r="I76" s="82" t="s">
        <v>25</v>
      </c>
      <c r="J76" s="181">
        <v>45811</v>
      </c>
      <c r="K76" s="186" t="s">
        <v>1081</v>
      </c>
    </row>
    <row r="77" spans="1:11" s="160" customFormat="1" ht="25.05" customHeight="1">
      <c r="A77" s="7" t="s">
        <v>191</v>
      </c>
      <c r="B77" s="196" t="s">
        <v>1076</v>
      </c>
      <c r="C77" s="82" t="s">
        <v>13</v>
      </c>
      <c r="D77" s="24" t="s">
        <v>32</v>
      </c>
      <c r="E77" s="81" t="s">
        <v>192</v>
      </c>
      <c r="F77" s="6" t="s">
        <v>16</v>
      </c>
      <c r="G77" s="25">
        <v>1942.56</v>
      </c>
      <c r="H77" s="6"/>
      <c r="I77" s="82" t="s">
        <v>25</v>
      </c>
      <c r="J77" s="181">
        <v>45811</v>
      </c>
      <c r="K77" s="186" t="s">
        <v>1081</v>
      </c>
    </row>
    <row r="78" spans="1:11" s="160" customFormat="1" ht="25.05" customHeight="1">
      <c r="A78" s="7" t="s">
        <v>193</v>
      </c>
      <c r="B78" s="6" t="s">
        <v>45</v>
      </c>
      <c r="C78" s="82" t="s">
        <v>13</v>
      </c>
      <c r="D78" s="24" t="s">
        <v>32</v>
      </c>
      <c r="E78" s="81" t="s">
        <v>194</v>
      </c>
      <c r="F78" s="6" t="s">
        <v>16</v>
      </c>
      <c r="G78" s="25">
        <v>2141.5</v>
      </c>
      <c r="H78" s="6"/>
      <c r="I78" s="82" t="s">
        <v>25</v>
      </c>
      <c r="J78" s="181">
        <v>45811</v>
      </c>
      <c r="K78" s="186" t="s">
        <v>1081</v>
      </c>
    </row>
    <row r="79" spans="1:11" s="160" customFormat="1" ht="25.05" customHeight="1">
      <c r="A79" s="7" t="s">
        <v>195</v>
      </c>
      <c r="B79" s="6" t="s">
        <v>45</v>
      </c>
      <c r="C79" s="82" t="s">
        <v>13</v>
      </c>
      <c r="D79" s="24" t="s">
        <v>32</v>
      </c>
      <c r="E79" s="81" t="s">
        <v>196</v>
      </c>
      <c r="F79" s="6" t="s">
        <v>16</v>
      </c>
      <c r="G79" s="25">
        <v>2035.5</v>
      </c>
      <c r="H79" s="6"/>
      <c r="I79" s="82" t="s">
        <v>25</v>
      </c>
      <c r="J79" s="181">
        <v>45811</v>
      </c>
      <c r="K79" s="186" t="s">
        <v>1081</v>
      </c>
    </row>
    <row r="80" spans="1:11" s="160" customFormat="1" ht="25.05" customHeight="1">
      <c r="A80" s="7" t="s">
        <v>197</v>
      </c>
      <c r="B80" s="6" t="s">
        <v>45</v>
      </c>
      <c r="C80" s="82" t="s">
        <v>13</v>
      </c>
      <c r="D80" s="24" t="s">
        <v>127</v>
      </c>
      <c r="E80" s="81" t="s">
        <v>198</v>
      </c>
      <c r="F80" s="6" t="s">
        <v>16</v>
      </c>
      <c r="G80" s="25">
        <v>3487.6</v>
      </c>
      <c r="H80" s="6"/>
      <c r="I80" s="82" t="s">
        <v>25</v>
      </c>
      <c r="J80" s="181">
        <v>45698</v>
      </c>
      <c r="K80" s="181"/>
    </row>
    <row r="81" spans="1:11" s="160" customFormat="1" ht="25.05" customHeight="1">
      <c r="A81" s="7" t="s">
        <v>199</v>
      </c>
      <c r="B81" s="6"/>
      <c r="C81" s="81" t="s">
        <v>200</v>
      </c>
      <c r="D81" s="24"/>
      <c r="E81" s="185"/>
      <c r="F81" s="6"/>
      <c r="G81" s="25"/>
      <c r="H81" s="6"/>
      <c r="I81" s="82" t="s">
        <v>25</v>
      </c>
      <c r="J81" s="181">
        <v>45811</v>
      </c>
      <c r="K81" s="186" t="s">
        <v>1054</v>
      </c>
    </row>
    <row r="82" spans="1:11" s="160" customFormat="1" ht="25.05" customHeight="1">
      <c r="A82" s="7" t="s">
        <v>1052</v>
      </c>
      <c r="B82" s="6" t="s">
        <v>45</v>
      </c>
      <c r="C82" s="82" t="s">
        <v>13</v>
      </c>
      <c r="D82" s="199" t="s">
        <v>1082</v>
      </c>
      <c r="E82" s="195" t="s">
        <v>1075</v>
      </c>
      <c r="F82" s="6" t="s">
        <v>16</v>
      </c>
      <c r="G82" s="25">
        <v>1811</v>
      </c>
      <c r="H82" s="6"/>
      <c r="I82" s="82" t="s">
        <v>25</v>
      </c>
      <c r="J82" s="181">
        <v>45811</v>
      </c>
      <c r="K82" s="186" t="s">
        <v>1053</v>
      </c>
    </row>
    <row r="83" spans="1:11" ht="25.05" customHeight="1">
      <c r="A83" s="218" t="s">
        <v>1083</v>
      </c>
      <c r="B83" s="219"/>
      <c r="C83" s="219"/>
      <c r="D83" s="219"/>
      <c r="E83" s="219"/>
      <c r="F83" s="219"/>
      <c r="G83" s="219"/>
      <c r="H83" s="219"/>
      <c r="I83" s="219"/>
      <c r="J83" s="219"/>
      <c r="K83" s="219"/>
    </row>
    <row r="84" spans="1:11" ht="13.5" customHeight="1">
      <c r="F84" s="73"/>
    </row>
    <row r="85" spans="1:11" ht="13.5" customHeight="1">
      <c r="F85" s="73"/>
    </row>
    <row r="86" spans="1:11" ht="13.5" customHeight="1">
      <c r="F86" s="73"/>
    </row>
  </sheetData>
  <autoFilter ref="A3:K83" xr:uid="{00000000-0009-0000-0000-000000000000}">
    <sortState xmlns:xlrd2="http://schemas.microsoft.com/office/spreadsheetml/2017/richdata2" ref="A3:K83">
      <sortCondition ref="A3"/>
    </sortState>
  </autoFilter>
  <mergeCells count="3">
    <mergeCell ref="A1:K1"/>
    <mergeCell ref="A2:K2"/>
    <mergeCell ref="A83:K83"/>
  </mergeCells>
  <phoneticPr fontId="23" type="noConversion"/>
  <pageMargins left="0.38" right="0.15748031496063" top="0.31496062992126" bottom="0.39370078740157499" header="0.31496062992126" footer="0.16"/>
  <pageSetup paperSize="9" orientation="portrait" r:id="rId1"/>
  <headerFooter>
    <oddFooter>&amp;C&amp;8第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3"/>
  <sheetViews>
    <sheetView view="pageBreakPreview" zoomScale="115" zoomScaleNormal="100" workbookViewId="0">
      <pane ySplit="3" topLeftCell="A4" activePane="bottomLeft" state="frozen"/>
      <selection pane="bottomLeft" activeCell="G10" sqref="G10"/>
    </sheetView>
  </sheetViews>
  <sheetFormatPr defaultColWidth="9" defaultRowHeight="19.05" customHeight="1"/>
  <cols>
    <col min="1" max="1" width="4.06640625" style="1" customWidth="1"/>
    <col min="2" max="2" width="10.9296875" style="2" customWidth="1"/>
    <col min="3" max="3" width="13.19921875" style="1" customWidth="1"/>
    <col min="4" max="4" width="10.53125" style="1" customWidth="1"/>
    <col min="5" max="5" width="42.19921875" style="1" customWidth="1"/>
    <col min="6" max="6" width="6.46484375" style="1" customWidth="1"/>
    <col min="7" max="7" width="8.46484375" style="1" customWidth="1"/>
  </cols>
  <sheetData>
    <row r="1" spans="1:7" ht="25.05" customHeight="1">
      <c r="A1" s="215" t="s">
        <v>201</v>
      </c>
      <c r="B1" s="215"/>
      <c r="C1" s="215"/>
      <c r="D1" s="215"/>
      <c r="E1" s="215"/>
      <c r="F1" s="215"/>
      <c r="G1" s="215"/>
    </row>
    <row r="2" spans="1:7" ht="25.05" customHeight="1">
      <c r="A2" s="217" t="s">
        <v>202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14</v>
      </c>
      <c r="C4" s="6" t="s">
        <v>15</v>
      </c>
      <c r="D4" s="6" t="s">
        <v>209</v>
      </c>
      <c r="E4" s="8" t="s">
        <v>210</v>
      </c>
      <c r="F4" s="8">
        <v>20</v>
      </c>
      <c r="G4" s="8"/>
    </row>
    <row r="5" spans="1:7" ht="25.05" customHeight="1">
      <c r="A5" s="6">
        <v>2</v>
      </c>
      <c r="B5" s="7" t="s">
        <v>14</v>
      </c>
      <c r="C5" s="6" t="s">
        <v>15</v>
      </c>
      <c r="D5" s="6" t="s">
        <v>209</v>
      </c>
      <c r="E5" s="8" t="s">
        <v>211</v>
      </c>
      <c r="F5" s="8">
        <v>16</v>
      </c>
      <c r="G5" s="8"/>
    </row>
    <row r="6" spans="1:7" ht="25.05" customHeight="1">
      <c r="A6" s="6">
        <v>3</v>
      </c>
      <c r="B6" s="7" t="s">
        <v>14</v>
      </c>
      <c r="C6" s="6" t="s">
        <v>15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14</v>
      </c>
      <c r="C7" s="6" t="s">
        <v>15</v>
      </c>
      <c r="D7" s="6" t="s">
        <v>209</v>
      </c>
      <c r="E7" s="8" t="s">
        <v>213</v>
      </c>
      <c r="F7" s="8">
        <v>34</v>
      </c>
      <c r="G7" s="8"/>
    </row>
    <row r="8" spans="1:7" ht="25.05" customHeight="1">
      <c r="A8" s="6">
        <v>5</v>
      </c>
      <c r="B8" s="7" t="s">
        <v>14</v>
      </c>
      <c r="C8" s="6" t="s">
        <v>15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14</v>
      </c>
      <c r="C9" s="6" t="s">
        <v>15</v>
      </c>
      <c r="D9" s="6" t="s">
        <v>209</v>
      </c>
      <c r="E9" s="8" t="s">
        <v>215</v>
      </c>
      <c r="F9" s="8">
        <v>10</v>
      </c>
      <c r="G9" s="8"/>
    </row>
    <row r="10" spans="1:7" ht="25.05" customHeight="1">
      <c r="A10" s="6">
        <v>7</v>
      </c>
      <c r="B10" s="7" t="s">
        <v>14</v>
      </c>
      <c r="C10" s="6" t="s">
        <v>15</v>
      </c>
      <c r="D10" s="6" t="s">
        <v>209</v>
      </c>
      <c r="E10" s="8" t="s">
        <v>216</v>
      </c>
      <c r="F10" s="8">
        <v>35</v>
      </c>
      <c r="G10" s="8"/>
    </row>
    <row r="11" spans="1:7" ht="25.05" customHeight="1">
      <c r="A11" s="6">
        <v>8</v>
      </c>
      <c r="B11" s="7" t="s">
        <v>14</v>
      </c>
      <c r="C11" s="6" t="s">
        <v>15</v>
      </c>
      <c r="D11" s="6" t="s">
        <v>209</v>
      </c>
      <c r="E11" s="8" t="s">
        <v>217</v>
      </c>
      <c r="F11" s="8">
        <v>55</v>
      </c>
      <c r="G11" s="8"/>
    </row>
    <row r="12" spans="1:7" ht="25.05" customHeight="1">
      <c r="A12" s="6">
        <v>9</v>
      </c>
      <c r="B12" s="7" t="s">
        <v>14</v>
      </c>
      <c r="C12" s="6" t="s">
        <v>15</v>
      </c>
      <c r="D12" s="6" t="s">
        <v>209</v>
      </c>
      <c r="E12" s="8" t="s">
        <v>218</v>
      </c>
      <c r="F12" s="8">
        <v>10</v>
      </c>
      <c r="G12" s="8"/>
    </row>
    <row r="13" spans="1:7" ht="25.05" customHeight="1">
      <c r="A13" s="6">
        <v>10</v>
      </c>
      <c r="B13" s="7" t="s">
        <v>14</v>
      </c>
      <c r="C13" s="6" t="s">
        <v>15</v>
      </c>
      <c r="D13" s="3" t="s">
        <v>219</v>
      </c>
      <c r="E13" s="9" t="s">
        <v>220</v>
      </c>
      <c r="F13" s="9">
        <f>SUM(F4:F12)</f>
        <v>240</v>
      </c>
      <c r="G13" s="9"/>
    </row>
    <row r="14" spans="1:7" ht="25.05" customHeight="1">
      <c r="A14" s="6">
        <v>11</v>
      </c>
      <c r="B14" s="7" t="s">
        <v>14</v>
      </c>
      <c r="C14" s="6" t="s">
        <v>15</v>
      </c>
      <c r="D14" s="6" t="s">
        <v>221</v>
      </c>
      <c r="E14" s="8" t="s">
        <v>222</v>
      </c>
      <c r="F14" s="8">
        <v>14</v>
      </c>
      <c r="G14" s="8"/>
    </row>
    <row r="15" spans="1:7" ht="25.05" customHeight="1">
      <c r="A15" s="6">
        <v>12</v>
      </c>
      <c r="B15" s="7" t="s">
        <v>14</v>
      </c>
      <c r="C15" s="6" t="s">
        <v>15</v>
      </c>
      <c r="D15" s="6" t="s">
        <v>221</v>
      </c>
      <c r="E15" s="8" t="s">
        <v>223</v>
      </c>
      <c r="F15" s="8">
        <v>22</v>
      </c>
      <c r="G15" s="8"/>
    </row>
    <row r="16" spans="1:7" ht="25.05" customHeight="1">
      <c r="A16" s="6">
        <v>13</v>
      </c>
      <c r="B16" s="7" t="s">
        <v>14</v>
      </c>
      <c r="C16" s="6" t="s">
        <v>15</v>
      </c>
      <c r="D16" s="6" t="s">
        <v>221</v>
      </c>
      <c r="E16" s="8" t="s">
        <v>224</v>
      </c>
      <c r="F16" s="8">
        <v>9</v>
      </c>
      <c r="G16" s="8"/>
    </row>
    <row r="17" spans="1:7" ht="25.05" customHeight="1">
      <c r="A17" s="6">
        <v>14</v>
      </c>
      <c r="B17" s="7" t="s">
        <v>14</v>
      </c>
      <c r="C17" s="6" t="s">
        <v>15</v>
      </c>
      <c r="D17" s="6" t="s">
        <v>221</v>
      </c>
      <c r="E17" s="8" t="s">
        <v>225</v>
      </c>
      <c r="F17" s="8">
        <v>20</v>
      </c>
      <c r="G17" s="8"/>
    </row>
    <row r="18" spans="1:7" ht="25.05" customHeight="1">
      <c r="A18" s="6">
        <v>15</v>
      </c>
      <c r="B18" s="7" t="s">
        <v>14</v>
      </c>
      <c r="C18" s="6" t="s">
        <v>15</v>
      </c>
      <c r="D18" s="6" t="s">
        <v>221</v>
      </c>
      <c r="E18" s="8" t="s">
        <v>226</v>
      </c>
      <c r="F18" s="8">
        <v>22</v>
      </c>
      <c r="G18" s="8"/>
    </row>
    <row r="19" spans="1:7" ht="25.05" customHeight="1">
      <c r="A19" s="6">
        <v>16</v>
      </c>
      <c r="B19" s="7" t="s">
        <v>14</v>
      </c>
      <c r="C19" s="6" t="s">
        <v>15</v>
      </c>
      <c r="D19" s="6" t="s">
        <v>221</v>
      </c>
      <c r="E19" s="8" t="s">
        <v>227</v>
      </c>
      <c r="F19" s="8">
        <v>20</v>
      </c>
      <c r="G19" s="8"/>
    </row>
    <row r="20" spans="1:7" ht="25.05" customHeight="1">
      <c r="A20" s="6">
        <v>17</v>
      </c>
      <c r="B20" s="7" t="s">
        <v>14</v>
      </c>
      <c r="C20" s="6" t="s">
        <v>15</v>
      </c>
      <c r="D20" s="3" t="s">
        <v>219</v>
      </c>
      <c r="E20" s="9" t="s">
        <v>228</v>
      </c>
      <c r="F20" s="9">
        <f>SUM(F14:F19)</f>
        <v>107</v>
      </c>
      <c r="G20" s="9"/>
    </row>
    <row r="21" spans="1:7" ht="25.05" customHeight="1">
      <c r="A21" s="6">
        <v>18</v>
      </c>
      <c r="B21" s="7" t="s">
        <v>14</v>
      </c>
      <c r="C21" s="6" t="s">
        <v>15</v>
      </c>
      <c r="D21" s="6" t="s">
        <v>229</v>
      </c>
      <c r="E21" s="8" t="s">
        <v>230</v>
      </c>
      <c r="F21" s="8">
        <v>14</v>
      </c>
      <c r="G21" s="8"/>
    </row>
    <row r="22" spans="1:7" ht="25.05" customHeight="1">
      <c r="A22" s="6">
        <v>19</v>
      </c>
      <c r="B22" s="7" t="s">
        <v>14</v>
      </c>
      <c r="C22" s="6" t="s">
        <v>15</v>
      </c>
      <c r="D22" s="6" t="s">
        <v>229</v>
      </c>
      <c r="E22" s="8" t="s">
        <v>231</v>
      </c>
      <c r="F22" s="8">
        <v>32</v>
      </c>
      <c r="G22" s="8"/>
    </row>
    <row r="23" spans="1:7" ht="25.05" customHeight="1">
      <c r="A23" s="6">
        <v>20</v>
      </c>
      <c r="B23" s="7" t="s">
        <v>14</v>
      </c>
      <c r="C23" s="6" t="s">
        <v>15</v>
      </c>
      <c r="D23" s="6" t="s">
        <v>229</v>
      </c>
      <c r="E23" s="8" t="s">
        <v>232</v>
      </c>
      <c r="F23" s="8">
        <v>18</v>
      </c>
      <c r="G23" s="8"/>
    </row>
    <row r="24" spans="1:7" ht="25.05" customHeight="1">
      <c r="A24" s="6">
        <v>21</v>
      </c>
      <c r="B24" s="7" t="s">
        <v>14</v>
      </c>
      <c r="C24" s="6" t="s">
        <v>15</v>
      </c>
      <c r="D24" s="6" t="s">
        <v>229</v>
      </c>
      <c r="E24" s="8" t="s">
        <v>233</v>
      </c>
      <c r="F24" s="8">
        <v>25</v>
      </c>
      <c r="G24" s="8"/>
    </row>
    <row r="25" spans="1:7" ht="25.05" customHeight="1">
      <c r="A25" s="6">
        <v>22</v>
      </c>
      <c r="B25" s="7" t="s">
        <v>14</v>
      </c>
      <c r="C25" s="6" t="s">
        <v>15</v>
      </c>
      <c r="D25" s="6" t="s">
        <v>229</v>
      </c>
      <c r="E25" s="8" t="s">
        <v>234</v>
      </c>
      <c r="F25" s="8">
        <v>19</v>
      </c>
      <c r="G25" s="8"/>
    </row>
    <row r="26" spans="1:7" ht="25.05" customHeight="1">
      <c r="A26" s="6">
        <v>23</v>
      </c>
      <c r="B26" s="7" t="s">
        <v>14</v>
      </c>
      <c r="C26" s="6" t="s">
        <v>15</v>
      </c>
      <c r="D26" s="6" t="s">
        <v>229</v>
      </c>
      <c r="E26" s="8" t="s">
        <v>235</v>
      </c>
      <c r="F26" s="8">
        <v>10</v>
      </c>
      <c r="G26" s="8"/>
    </row>
    <row r="27" spans="1:7" ht="25.05" customHeight="1">
      <c r="A27" s="6">
        <v>24</v>
      </c>
      <c r="B27" s="7" t="s">
        <v>14</v>
      </c>
      <c r="C27" s="6" t="s">
        <v>15</v>
      </c>
      <c r="D27" s="6" t="s">
        <v>229</v>
      </c>
      <c r="E27" s="8" t="s">
        <v>236</v>
      </c>
      <c r="F27" s="8">
        <v>9</v>
      </c>
      <c r="G27" s="8"/>
    </row>
    <row r="28" spans="1:7" ht="25.05" customHeight="1">
      <c r="A28" s="6">
        <v>25</v>
      </c>
      <c r="B28" s="7" t="s">
        <v>14</v>
      </c>
      <c r="C28" s="6" t="s">
        <v>15</v>
      </c>
      <c r="D28" s="6" t="s">
        <v>229</v>
      </c>
      <c r="E28" s="8" t="s">
        <v>237</v>
      </c>
      <c r="F28" s="8">
        <v>8</v>
      </c>
      <c r="G28" s="8"/>
    </row>
    <row r="29" spans="1:7" ht="25.05" customHeight="1">
      <c r="A29" s="6">
        <v>26</v>
      </c>
      <c r="B29" s="7" t="s">
        <v>14</v>
      </c>
      <c r="C29" s="6" t="s">
        <v>15</v>
      </c>
      <c r="D29" s="3" t="s">
        <v>219</v>
      </c>
      <c r="E29" s="9" t="s">
        <v>238</v>
      </c>
      <c r="F29" s="9">
        <f>SUM(F21:F28)</f>
        <v>135</v>
      </c>
      <c r="G29" s="9"/>
    </row>
    <row r="30" spans="1:7" ht="25.05" customHeight="1">
      <c r="A30" s="6">
        <v>27</v>
      </c>
      <c r="B30" s="7" t="s">
        <v>14</v>
      </c>
      <c r="C30" s="6" t="s">
        <v>15</v>
      </c>
      <c r="D30" s="6" t="s">
        <v>239</v>
      </c>
      <c r="E30" s="8" t="s">
        <v>240</v>
      </c>
      <c r="F30" s="8">
        <v>70</v>
      </c>
      <c r="G30" s="8"/>
    </row>
    <row r="31" spans="1:7" ht="25.05" customHeight="1">
      <c r="A31" s="6">
        <v>28</v>
      </c>
      <c r="B31" s="7" t="s">
        <v>14</v>
      </c>
      <c r="C31" s="6" t="s">
        <v>15</v>
      </c>
      <c r="D31" s="6" t="s">
        <v>239</v>
      </c>
      <c r="E31" s="8" t="s">
        <v>241</v>
      </c>
      <c r="F31" s="8">
        <v>60</v>
      </c>
      <c r="G31" s="8"/>
    </row>
    <row r="32" spans="1:7" ht="25.05" customHeight="1">
      <c r="A32" s="6">
        <v>29</v>
      </c>
      <c r="B32" s="7" t="s">
        <v>14</v>
      </c>
      <c r="C32" s="6" t="s">
        <v>15</v>
      </c>
      <c r="D32" s="3" t="s">
        <v>219</v>
      </c>
      <c r="E32" s="9" t="s">
        <v>242</v>
      </c>
      <c r="F32" s="9">
        <f>SUM(F30:F31)</f>
        <v>130</v>
      </c>
      <c r="G32" s="9"/>
    </row>
    <row r="33" spans="1:7" ht="25.05" customHeight="1">
      <c r="A33" s="6">
        <v>30</v>
      </c>
      <c r="B33" s="7" t="s">
        <v>14</v>
      </c>
      <c r="C33" s="6" t="s">
        <v>15</v>
      </c>
      <c r="D33" s="6" t="s">
        <v>243</v>
      </c>
      <c r="E33" s="8" t="s">
        <v>244</v>
      </c>
      <c r="F33" s="8">
        <v>6.6</v>
      </c>
      <c r="G33" s="8"/>
    </row>
    <row r="34" spans="1:7" ht="25.05" customHeight="1">
      <c r="A34" s="6">
        <v>31</v>
      </c>
      <c r="B34" s="7" t="s">
        <v>14</v>
      </c>
      <c r="C34" s="6" t="s">
        <v>15</v>
      </c>
      <c r="D34" s="6" t="s">
        <v>243</v>
      </c>
      <c r="E34" s="8" t="s">
        <v>245</v>
      </c>
      <c r="F34" s="8">
        <v>6.6</v>
      </c>
      <c r="G34" s="8"/>
    </row>
    <row r="35" spans="1:7" ht="25.05" customHeight="1">
      <c r="A35" s="6">
        <v>32</v>
      </c>
      <c r="B35" s="7" t="s">
        <v>14</v>
      </c>
      <c r="C35" s="6" t="s">
        <v>15</v>
      </c>
      <c r="D35" s="6" t="s">
        <v>243</v>
      </c>
      <c r="E35" s="8" t="s">
        <v>246</v>
      </c>
      <c r="F35" s="8">
        <v>13.2</v>
      </c>
      <c r="G35" s="8"/>
    </row>
    <row r="36" spans="1:7" ht="25.05" customHeight="1">
      <c r="A36" s="6">
        <v>33</v>
      </c>
      <c r="B36" s="7" t="s">
        <v>14</v>
      </c>
      <c r="C36" s="6" t="s">
        <v>15</v>
      </c>
      <c r="D36" s="6" t="s">
        <v>243</v>
      </c>
      <c r="E36" s="8" t="s">
        <v>247</v>
      </c>
      <c r="F36" s="8">
        <v>2</v>
      </c>
      <c r="G36" s="8"/>
    </row>
    <row r="37" spans="1:7" ht="25.05" customHeight="1">
      <c r="A37" s="6">
        <v>34</v>
      </c>
      <c r="B37" s="7" t="s">
        <v>14</v>
      </c>
      <c r="C37" s="6" t="s">
        <v>15</v>
      </c>
      <c r="D37" s="3" t="s">
        <v>219</v>
      </c>
      <c r="E37" s="9" t="s">
        <v>248</v>
      </c>
      <c r="F37" s="9">
        <f>SUM(F33:F36)</f>
        <v>28.4</v>
      </c>
      <c r="G37" s="9"/>
    </row>
    <row r="38" spans="1:7" ht="25.05" customHeight="1">
      <c r="A38" s="6">
        <v>35</v>
      </c>
      <c r="B38" s="7" t="s">
        <v>14</v>
      </c>
      <c r="C38" s="6" t="s">
        <v>15</v>
      </c>
      <c r="D38" s="6" t="s">
        <v>249</v>
      </c>
      <c r="E38" s="8" t="s">
        <v>250</v>
      </c>
      <c r="F38" s="8">
        <v>5</v>
      </c>
      <c r="G38" s="8"/>
    </row>
    <row r="39" spans="1:7" ht="25.05" customHeight="1">
      <c r="A39" s="6">
        <v>36</v>
      </c>
      <c r="B39" s="7" t="s">
        <v>14</v>
      </c>
      <c r="C39" s="6" t="s">
        <v>15</v>
      </c>
      <c r="D39" s="6" t="s">
        <v>249</v>
      </c>
      <c r="E39" s="8" t="s">
        <v>251</v>
      </c>
      <c r="F39" s="8">
        <v>7</v>
      </c>
      <c r="G39" s="8"/>
    </row>
    <row r="40" spans="1:7" ht="25.05" customHeight="1">
      <c r="A40" s="6">
        <v>37</v>
      </c>
      <c r="B40" s="7" t="s">
        <v>14</v>
      </c>
      <c r="C40" s="6" t="s">
        <v>15</v>
      </c>
      <c r="D40" s="6" t="s">
        <v>249</v>
      </c>
      <c r="E40" s="8" t="s">
        <v>252</v>
      </c>
      <c r="F40" s="8">
        <v>31.5</v>
      </c>
      <c r="G40" s="8"/>
    </row>
    <row r="41" spans="1:7" ht="25.05" customHeight="1">
      <c r="A41" s="6">
        <v>38</v>
      </c>
      <c r="B41" s="7" t="s">
        <v>14</v>
      </c>
      <c r="C41" s="6" t="s">
        <v>15</v>
      </c>
      <c r="D41" s="6" t="s">
        <v>249</v>
      </c>
      <c r="E41" s="8" t="s">
        <v>253</v>
      </c>
      <c r="F41" s="8">
        <v>7</v>
      </c>
      <c r="G41" s="8"/>
    </row>
    <row r="42" spans="1:7" ht="25.05" customHeight="1">
      <c r="A42" s="6">
        <v>39</v>
      </c>
      <c r="B42" s="7" t="s">
        <v>14</v>
      </c>
      <c r="C42" s="6" t="s">
        <v>15</v>
      </c>
      <c r="D42" s="6" t="s">
        <v>249</v>
      </c>
      <c r="E42" s="8" t="s">
        <v>254</v>
      </c>
      <c r="F42" s="8">
        <v>3</v>
      </c>
      <c r="G42" s="8"/>
    </row>
    <row r="43" spans="1:7" ht="25.05" customHeight="1">
      <c r="A43" s="6">
        <v>40</v>
      </c>
      <c r="B43" s="7" t="s">
        <v>14</v>
      </c>
      <c r="C43" s="6" t="s">
        <v>15</v>
      </c>
      <c r="D43" s="3" t="s">
        <v>219</v>
      </c>
      <c r="E43" s="9" t="s">
        <v>255</v>
      </c>
      <c r="F43" s="9">
        <f>SUM(F38:F42)</f>
        <v>53.5</v>
      </c>
      <c r="G43" s="9"/>
    </row>
    <row r="44" spans="1:7" ht="25.05" customHeight="1">
      <c r="A44" s="6">
        <v>41</v>
      </c>
      <c r="B44" s="7" t="s">
        <v>14</v>
      </c>
      <c r="C44" s="6" t="s">
        <v>15</v>
      </c>
      <c r="D44" s="6" t="s">
        <v>256</v>
      </c>
      <c r="E44" s="8" t="s">
        <v>257</v>
      </c>
      <c r="F44" s="8">
        <v>5</v>
      </c>
      <c r="G44" s="8"/>
    </row>
    <row r="45" spans="1:7" ht="25.05" customHeight="1">
      <c r="A45" s="6">
        <v>42</v>
      </c>
      <c r="B45" s="7" t="s">
        <v>14</v>
      </c>
      <c r="C45" s="6" t="s">
        <v>15</v>
      </c>
      <c r="D45" s="3" t="s">
        <v>219</v>
      </c>
      <c r="E45" s="9" t="s">
        <v>258</v>
      </c>
      <c r="F45" s="9">
        <f>SUM(F44)</f>
        <v>5</v>
      </c>
      <c r="G45" s="9"/>
    </row>
    <row r="46" spans="1:7" ht="25.05" customHeight="1">
      <c r="A46" s="6">
        <v>43</v>
      </c>
      <c r="B46" s="7" t="s">
        <v>14</v>
      </c>
      <c r="C46" s="6" t="s">
        <v>15</v>
      </c>
      <c r="D46" s="6" t="s">
        <v>259</v>
      </c>
      <c r="E46" s="8" t="s">
        <v>260</v>
      </c>
      <c r="F46" s="8">
        <v>10</v>
      </c>
      <c r="G46" s="8"/>
    </row>
    <row r="47" spans="1:7" ht="25.05" customHeight="1">
      <c r="A47" s="6">
        <v>44</v>
      </c>
      <c r="B47" s="7" t="s">
        <v>14</v>
      </c>
      <c r="C47" s="6" t="s">
        <v>15</v>
      </c>
      <c r="D47" s="3" t="s">
        <v>219</v>
      </c>
      <c r="E47" s="9" t="s">
        <v>261</v>
      </c>
      <c r="F47" s="9">
        <f>SUM(F46)</f>
        <v>10</v>
      </c>
      <c r="G47" s="9"/>
    </row>
    <row r="48" spans="1:7" ht="25.05" customHeight="1">
      <c r="A48" s="6">
        <v>45</v>
      </c>
      <c r="B48" s="7" t="s">
        <v>14</v>
      </c>
      <c r="C48" s="6" t="s">
        <v>15</v>
      </c>
      <c r="D48" s="6" t="s">
        <v>262</v>
      </c>
      <c r="E48" s="8" t="s">
        <v>263</v>
      </c>
      <c r="F48" s="8">
        <v>85</v>
      </c>
      <c r="G48" s="8"/>
    </row>
    <row r="49" spans="1:7" ht="25.05" customHeight="1">
      <c r="A49" s="6">
        <v>46</v>
      </c>
      <c r="B49" s="7" t="s">
        <v>14</v>
      </c>
      <c r="C49" s="6" t="s">
        <v>15</v>
      </c>
      <c r="D49" s="6" t="s">
        <v>262</v>
      </c>
      <c r="E49" s="8" t="s">
        <v>264</v>
      </c>
      <c r="F49" s="8">
        <v>40</v>
      </c>
      <c r="G49" s="8"/>
    </row>
    <row r="50" spans="1:7" ht="25.05" customHeight="1">
      <c r="A50" s="6">
        <v>47</v>
      </c>
      <c r="B50" s="7" t="s">
        <v>14</v>
      </c>
      <c r="C50" s="6" t="s">
        <v>15</v>
      </c>
      <c r="D50" s="6" t="s">
        <v>262</v>
      </c>
      <c r="E50" s="8" t="s">
        <v>265</v>
      </c>
      <c r="F50" s="8">
        <v>20</v>
      </c>
      <c r="G50" s="8"/>
    </row>
    <row r="51" spans="1:7" ht="25.05" customHeight="1">
      <c r="A51" s="6">
        <v>48</v>
      </c>
      <c r="B51" s="7" t="s">
        <v>14</v>
      </c>
      <c r="C51" s="6" t="s">
        <v>15</v>
      </c>
      <c r="D51" s="3" t="s">
        <v>219</v>
      </c>
      <c r="E51" s="9" t="s">
        <v>266</v>
      </c>
      <c r="F51" s="9">
        <f>SUM(F48:F50)</f>
        <v>145</v>
      </c>
      <c r="G51" s="9"/>
    </row>
    <row r="52" spans="1:7" ht="25.05" customHeight="1">
      <c r="A52" s="6">
        <v>49</v>
      </c>
      <c r="B52" s="7" t="s">
        <v>14</v>
      </c>
      <c r="C52" s="6" t="s">
        <v>15</v>
      </c>
      <c r="D52" s="3" t="s">
        <v>267</v>
      </c>
      <c r="E52" s="9" t="s">
        <v>268</v>
      </c>
      <c r="F52" s="9">
        <v>854</v>
      </c>
      <c r="G52" s="9"/>
    </row>
    <row r="53" spans="1:7" ht="25.05" customHeight="1">
      <c r="A53" s="220" t="s">
        <v>269</v>
      </c>
      <c r="B53" s="221"/>
      <c r="C53" s="221"/>
      <c r="D53" s="221"/>
      <c r="E53" s="221"/>
      <c r="F53" s="221"/>
      <c r="G53" s="222"/>
    </row>
  </sheetData>
  <autoFilter ref="A3:G53" xr:uid="{00000000-0009-0000-0000-000001000000}"/>
  <mergeCells count="3">
    <mergeCell ref="A1:G1"/>
    <mergeCell ref="A2:G2"/>
    <mergeCell ref="A53:G53"/>
  </mergeCells>
  <phoneticPr fontId="23" type="noConversion"/>
  <pageMargins left="0.59055118110236204" right="0.23622047244094499" top="0.39370078740157499" bottom="0.511811023622047" header="0.39370078740157499" footer="0.23622047244094499"/>
  <pageSetup paperSize="9" orientation="portrait" r:id="rId1"/>
  <headerFooter>
    <oddFooter>&amp;C&amp;8第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4"/>
  <sheetViews>
    <sheetView view="pageBreakPreview" zoomScale="130" zoomScaleNormal="100" workbookViewId="0">
      <pane ySplit="3" topLeftCell="A4" activePane="bottomLeft" state="frozen"/>
      <selection pane="bottomLeft" activeCell="G17" sqref="G17"/>
    </sheetView>
  </sheetViews>
  <sheetFormatPr defaultColWidth="9" defaultRowHeight="19.05" customHeight="1"/>
  <cols>
    <col min="1" max="1" width="4.06640625" style="1" customWidth="1"/>
    <col min="2" max="2" width="10.265625" style="2" customWidth="1"/>
    <col min="3" max="3" width="14.33203125" style="1" customWidth="1"/>
    <col min="4" max="4" width="11.59765625" style="1" customWidth="1"/>
    <col min="5" max="5" width="43" style="1" customWidth="1"/>
    <col min="6" max="6" width="5.265625" style="78" customWidth="1"/>
    <col min="7" max="7" width="7.53125" style="1" customWidth="1"/>
  </cols>
  <sheetData>
    <row r="1" spans="1:7" ht="25.05" customHeight="1">
      <c r="A1" s="215" t="s">
        <v>270</v>
      </c>
      <c r="B1" s="215"/>
      <c r="C1" s="215"/>
      <c r="D1" s="215"/>
      <c r="E1" s="215"/>
      <c r="F1" s="215"/>
      <c r="G1" s="215"/>
    </row>
    <row r="2" spans="1:7" ht="25.05" customHeight="1">
      <c r="A2" s="217" t="s">
        <v>271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20</v>
      </c>
      <c r="C4" s="6" t="s">
        <v>21</v>
      </c>
      <c r="D4" s="6" t="s">
        <v>209</v>
      </c>
      <c r="E4" s="8" t="s">
        <v>210</v>
      </c>
      <c r="F4" s="25">
        <v>20</v>
      </c>
      <c r="G4" s="8"/>
    </row>
    <row r="5" spans="1:7" ht="25.05" customHeight="1">
      <c r="A5" s="6">
        <v>2</v>
      </c>
      <c r="B5" s="7" t="s">
        <v>20</v>
      </c>
      <c r="C5" s="6" t="s">
        <v>21</v>
      </c>
      <c r="D5" s="6" t="s">
        <v>209</v>
      </c>
      <c r="E5" s="8" t="s">
        <v>211</v>
      </c>
      <c r="F5" s="25">
        <v>16</v>
      </c>
      <c r="G5" s="8"/>
    </row>
    <row r="6" spans="1:7" ht="25.05" customHeight="1">
      <c r="A6" s="6">
        <v>3</v>
      </c>
      <c r="B6" s="7" t="s">
        <v>20</v>
      </c>
      <c r="C6" s="6" t="s">
        <v>21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20</v>
      </c>
      <c r="C7" s="6" t="s">
        <v>21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20</v>
      </c>
      <c r="C8" s="6" t="s">
        <v>21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20</v>
      </c>
      <c r="C9" s="6" t="s">
        <v>21</v>
      </c>
      <c r="D9" s="6" t="s">
        <v>209</v>
      </c>
      <c r="E9" s="8" t="s">
        <v>215</v>
      </c>
      <c r="F9" s="25">
        <v>10</v>
      </c>
      <c r="G9" s="116"/>
    </row>
    <row r="10" spans="1:7" ht="25.05" customHeight="1">
      <c r="A10" s="6">
        <v>7</v>
      </c>
      <c r="B10" s="7" t="s">
        <v>20</v>
      </c>
      <c r="C10" s="6" t="s">
        <v>21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20</v>
      </c>
      <c r="C11" s="6" t="s">
        <v>21</v>
      </c>
      <c r="D11" s="6" t="s">
        <v>209</v>
      </c>
      <c r="E11" s="8" t="s">
        <v>217</v>
      </c>
      <c r="F11" s="25">
        <v>55</v>
      </c>
      <c r="G11" s="8"/>
    </row>
    <row r="12" spans="1:7" ht="25.05" customHeight="1">
      <c r="A12" s="6">
        <v>9</v>
      </c>
      <c r="B12" s="7" t="s">
        <v>20</v>
      </c>
      <c r="C12" s="6" t="s">
        <v>21</v>
      </c>
      <c r="D12" s="6" t="s">
        <v>209</v>
      </c>
      <c r="E12" s="8" t="s">
        <v>218</v>
      </c>
      <c r="F12" s="25">
        <v>10</v>
      </c>
      <c r="G12" s="8"/>
    </row>
    <row r="13" spans="1:7" ht="25.05" customHeight="1">
      <c r="A13" s="6">
        <v>10</v>
      </c>
      <c r="B13" s="7" t="s">
        <v>20</v>
      </c>
      <c r="C13" s="6" t="s">
        <v>21</v>
      </c>
      <c r="D13" s="3" t="s">
        <v>219</v>
      </c>
      <c r="E13" s="9" t="s">
        <v>220</v>
      </c>
      <c r="F13" s="79">
        <f>SUM(F4:F12)</f>
        <v>240</v>
      </c>
      <c r="G13" s="9"/>
    </row>
    <row r="14" spans="1:7" ht="25.05" customHeight="1">
      <c r="A14" s="6">
        <v>11</v>
      </c>
      <c r="B14" s="7" t="s">
        <v>20</v>
      </c>
      <c r="C14" s="6" t="s">
        <v>21</v>
      </c>
      <c r="D14" s="6" t="s">
        <v>221</v>
      </c>
      <c r="E14" s="8" t="s">
        <v>222</v>
      </c>
      <c r="F14" s="25">
        <v>14</v>
      </c>
      <c r="G14" s="8"/>
    </row>
    <row r="15" spans="1:7" ht="25.05" customHeight="1">
      <c r="A15" s="6">
        <v>12</v>
      </c>
      <c r="B15" s="7" t="s">
        <v>20</v>
      </c>
      <c r="C15" s="6" t="s">
        <v>21</v>
      </c>
      <c r="D15" s="6" t="s">
        <v>221</v>
      </c>
      <c r="E15" s="8" t="s">
        <v>273</v>
      </c>
      <c r="F15" s="25">
        <v>22</v>
      </c>
      <c r="G15" s="8"/>
    </row>
    <row r="16" spans="1:7" ht="25.05" customHeight="1">
      <c r="A16" s="6">
        <v>13</v>
      </c>
      <c r="B16" s="7" t="s">
        <v>20</v>
      </c>
      <c r="C16" s="6" t="s">
        <v>21</v>
      </c>
      <c r="D16" s="6" t="s">
        <v>221</v>
      </c>
      <c r="E16" s="8" t="s">
        <v>224</v>
      </c>
      <c r="F16" s="25">
        <v>9</v>
      </c>
      <c r="G16" s="8"/>
    </row>
    <row r="17" spans="1:7" ht="25.05" customHeight="1">
      <c r="A17" s="6">
        <v>14</v>
      </c>
      <c r="B17" s="7" t="s">
        <v>20</v>
      </c>
      <c r="C17" s="6" t="s">
        <v>21</v>
      </c>
      <c r="D17" s="6" t="s">
        <v>221</v>
      </c>
      <c r="E17" s="8" t="s">
        <v>225</v>
      </c>
      <c r="F17" s="25">
        <v>20</v>
      </c>
      <c r="G17" s="8"/>
    </row>
    <row r="18" spans="1:7" ht="25.05" customHeight="1">
      <c r="A18" s="6">
        <v>15</v>
      </c>
      <c r="B18" s="7" t="s">
        <v>20</v>
      </c>
      <c r="C18" s="6" t="s">
        <v>21</v>
      </c>
      <c r="D18" s="6" t="s">
        <v>221</v>
      </c>
      <c r="E18" s="8" t="s">
        <v>226</v>
      </c>
      <c r="F18" s="25">
        <v>22</v>
      </c>
      <c r="G18" s="8"/>
    </row>
    <row r="19" spans="1:7" ht="25.05" customHeight="1">
      <c r="A19" s="6">
        <v>16</v>
      </c>
      <c r="B19" s="7" t="s">
        <v>20</v>
      </c>
      <c r="C19" s="6" t="s">
        <v>21</v>
      </c>
      <c r="D19" s="6" t="s">
        <v>221</v>
      </c>
      <c r="E19" s="8" t="s">
        <v>274</v>
      </c>
      <c r="F19" s="25">
        <v>20</v>
      </c>
      <c r="G19" s="8"/>
    </row>
    <row r="20" spans="1:7" ht="25.05" customHeight="1">
      <c r="A20" s="6">
        <v>17</v>
      </c>
      <c r="B20" s="7" t="s">
        <v>20</v>
      </c>
      <c r="C20" s="6" t="s">
        <v>21</v>
      </c>
      <c r="D20" s="3" t="s">
        <v>219</v>
      </c>
      <c r="E20" s="9" t="s">
        <v>228</v>
      </c>
      <c r="F20" s="79">
        <f>SUM(F14:F19)</f>
        <v>107</v>
      </c>
      <c r="G20" s="9"/>
    </row>
    <row r="21" spans="1:7" ht="25.05" customHeight="1">
      <c r="A21" s="6">
        <v>18</v>
      </c>
      <c r="B21" s="7" t="s">
        <v>20</v>
      </c>
      <c r="C21" s="6" t="s">
        <v>21</v>
      </c>
      <c r="D21" s="6" t="s">
        <v>229</v>
      </c>
      <c r="E21" s="8" t="s">
        <v>230</v>
      </c>
      <c r="F21" s="25">
        <v>14</v>
      </c>
      <c r="G21" s="8"/>
    </row>
    <row r="22" spans="1:7" ht="25.05" customHeight="1">
      <c r="A22" s="6">
        <v>19</v>
      </c>
      <c r="B22" s="7" t="s">
        <v>20</v>
      </c>
      <c r="C22" s="6" t="s">
        <v>21</v>
      </c>
      <c r="D22" s="6" t="s">
        <v>229</v>
      </c>
      <c r="E22" s="8" t="s">
        <v>231</v>
      </c>
      <c r="F22" s="25">
        <v>32</v>
      </c>
      <c r="G22" s="8"/>
    </row>
    <row r="23" spans="1:7" ht="25.05" customHeight="1">
      <c r="A23" s="6">
        <v>20</v>
      </c>
      <c r="B23" s="7" t="s">
        <v>20</v>
      </c>
      <c r="C23" s="6" t="s">
        <v>21</v>
      </c>
      <c r="D23" s="6" t="s">
        <v>229</v>
      </c>
      <c r="E23" s="8" t="s">
        <v>232</v>
      </c>
      <c r="F23" s="25">
        <v>18</v>
      </c>
      <c r="G23" s="8"/>
    </row>
    <row r="24" spans="1:7" ht="25.05" customHeight="1">
      <c r="A24" s="6">
        <v>21</v>
      </c>
      <c r="B24" s="7" t="s">
        <v>20</v>
      </c>
      <c r="C24" s="6" t="s">
        <v>21</v>
      </c>
      <c r="D24" s="6" t="s">
        <v>229</v>
      </c>
      <c r="E24" s="8" t="s">
        <v>233</v>
      </c>
      <c r="F24" s="25">
        <v>25</v>
      </c>
      <c r="G24" s="8"/>
    </row>
    <row r="25" spans="1:7" ht="25.05" customHeight="1">
      <c r="A25" s="6">
        <v>22</v>
      </c>
      <c r="B25" s="7" t="s">
        <v>20</v>
      </c>
      <c r="C25" s="6" t="s">
        <v>21</v>
      </c>
      <c r="D25" s="6" t="s">
        <v>229</v>
      </c>
      <c r="E25" s="8" t="s">
        <v>234</v>
      </c>
      <c r="F25" s="25">
        <v>19</v>
      </c>
      <c r="G25" s="8"/>
    </row>
    <row r="26" spans="1:7" ht="25.05" customHeight="1">
      <c r="A26" s="6">
        <v>23</v>
      </c>
      <c r="B26" s="7" t="s">
        <v>20</v>
      </c>
      <c r="C26" s="6" t="s">
        <v>21</v>
      </c>
      <c r="D26" s="6" t="s">
        <v>229</v>
      </c>
      <c r="E26" s="8" t="s">
        <v>275</v>
      </c>
      <c r="F26" s="25">
        <v>12</v>
      </c>
      <c r="G26" s="8"/>
    </row>
    <row r="27" spans="1:7" ht="25.05" customHeight="1">
      <c r="A27" s="6">
        <v>24</v>
      </c>
      <c r="B27" s="7" t="s">
        <v>20</v>
      </c>
      <c r="C27" s="6" t="s">
        <v>21</v>
      </c>
      <c r="D27" s="6" t="s">
        <v>229</v>
      </c>
      <c r="E27" s="8" t="s">
        <v>235</v>
      </c>
      <c r="F27" s="25">
        <v>10</v>
      </c>
      <c r="G27" s="8"/>
    </row>
    <row r="28" spans="1:7" ht="25.05" customHeight="1">
      <c r="A28" s="6">
        <v>25</v>
      </c>
      <c r="B28" s="7" t="s">
        <v>20</v>
      </c>
      <c r="C28" s="6" t="s">
        <v>21</v>
      </c>
      <c r="D28" s="6" t="s">
        <v>229</v>
      </c>
      <c r="E28" s="8" t="s">
        <v>237</v>
      </c>
      <c r="F28" s="25">
        <v>8</v>
      </c>
      <c r="G28" s="8"/>
    </row>
    <row r="29" spans="1:7" ht="25.05" customHeight="1">
      <c r="A29" s="6">
        <v>26</v>
      </c>
      <c r="B29" s="7" t="s">
        <v>20</v>
      </c>
      <c r="C29" s="6" t="s">
        <v>21</v>
      </c>
      <c r="D29" s="3" t="s">
        <v>219</v>
      </c>
      <c r="E29" s="9" t="s">
        <v>238</v>
      </c>
      <c r="F29" s="79">
        <f>SUM(F21:F28)</f>
        <v>138</v>
      </c>
      <c r="G29" s="9"/>
    </row>
    <row r="30" spans="1:7" ht="25.05" customHeight="1">
      <c r="A30" s="6">
        <v>27</v>
      </c>
      <c r="B30" s="7" t="s">
        <v>20</v>
      </c>
      <c r="C30" s="6" t="s">
        <v>21</v>
      </c>
      <c r="D30" s="6" t="s">
        <v>239</v>
      </c>
      <c r="E30" s="8" t="s">
        <v>240</v>
      </c>
      <c r="F30" s="25">
        <v>70</v>
      </c>
      <c r="G30" s="8"/>
    </row>
    <row r="31" spans="1:7" ht="25.05" customHeight="1">
      <c r="A31" s="6">
        <v>28</v>
      </c>
      <c r="B31" s="7" t="s">
        <v>20</v>
      </c>
      <c r="C31" s="6" t="s">
        <v>21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20</v>
      </c>
      <c r="C32" s="6" t="s">
        <v>21</v>
      </c>
      <c r="D32" s="3" t="s">
        <v>219</v>
      </c>
      <c r="E32" s="9" t="s">
        <v>242</v>
      </c>
      <c r="F32" s="79">
        <f>SUM(F30:F31)</f>
        <v>130</v>
      </c>
      <c r="G32" s="9"/>
    </row>
    <row r="33" spans="1:7" ht="25.05" customHeight="1">
      <c r="A33" s="6">
        <v>30</v>
      </c>
      <c r="B33" s="7" t="s">
        <v>20</v>
      </c>
      <c r="C33" s="6" t="s">
        <v>21</v>
      </c>
      <c r="D33" s="6" t="s">
        <v>259</v>
      </c>
      <c r="E33" s="8" t="s">
        <v>276</v>
      </c>
      <c r="F33" s="25">
        <v>10</v>
      </c>
      <c r="G33" s="8"/>
    </row>
    <row r="34" spans="1:7" ht="25.05" customHeight="1">
      <c r="A34" s="6">
        <v>31</v>
      </c>
      <c r="B34" s="7" t="s">
        <v>20</v>
      </c>
      <c r="C34" s="6" t="s">
        <v>21</v>
      </c>
      <c r="D34" s="6" t="s">
        <v>259</v>
      </c>
      <c r="E34" s="8" t="s">
        <v>260</v>
      </c>
      <c r="F34" s="25">
        <v>10</v>
      </c>
      <c r="G34" s="8"/>
    </row>
    <row r="35" spans="1:7" ht="25.05" customHeight="1">
      <c r="A35" s="6">
        <v>32</v>
      </c>
      <c r="B35" s="7" t="s">
        <v>20</v>
      </c>
      <c r="C35" s="6" t="s">
        <v>21</v>
      </c>
      <c r="D35" s="3" t="s">
        <v>219</v>
      </c>
      <c r="E35" s="9" t="s">
        <v>261</v>
      </c>
      <c r="F35" s="79">
        <f>SUM(F33:F34)</f>
        <v>20</v>
      </c>
      <c r="G35" s="9"/>
    </row>
    <row r="36" spans="1:7" ht="25.05" customHeight="1">
      <c r="A36" s="6">
        <v>33</v>
      </c>
      <c r="B36" s="7" t="s">
        <v>20</v>
      </c>
      <c r="C36" s="6" t="s">
        <v>21</v>
      </c>
      <c r="D36" s="6" t="s">
        <v>243</v>
      </c>
      <c r="E36" s="8" t="s">
        <v>277</v>
      </c>
      <c r="F36" s="25">
        <v>10.199999999999999</v>
      </c>
      <c r="G36" s="8"/>
    </row>
    <row r="37" spans="1:7" ht="25.05" customHeight="1">
      <c r="A37" s="6">
        <v>34</v>
      </c>
      <c r="B37" s="7" t="s">
        <v>20</v>
      </c>
      <c r="C37" s="6" t="s">
        <v>21</v>
      </c>
      <c r="D37" s="6" t="s">
        <v>243</v>
      </c>
      <c r="E37" s="8" t="s">
        <v>278</v>
      </c>
      <c r="F37" s="25">
        <v>10.199999999999999</v>
      </c>
      <c r="G37" s="8"/>
    </row>
    <row r="38" spans="1:7" ht="25.05" customHeight="1">
      <c r="A38" s="6">
        <v>35</v>
      </c>
      <c r="B38" s="7" t="s">
        <v>20</v>
      </c>
      <c r="C38" s="6" t="s">
        <v>21</v>
      </c>
      <c r="D38" s="6" t="s">
        <v>243</v>
      </c>
      <c r="E38" s="8" t="s">
        <v>279</v>
      </c>
      <c r="F38" s="25">
        <v>17.16</v>
      </c>
      <c r="G38" s="8"/>
    </row>
    <row r="39" spans="1:7" ht="25.05" customHeight="1">
      <c r="A39" s="6">
        <v>36</v>
      </c>
      <c r="B39" s="7" t="s">
        <v>20</v>
      </c>
      <c r="C39" s="6" t="s">
        <v>21</v>
      </c>
      <c r="D39" s="6" t="s">
        <v>243</v>
      </c>
      <c r="E39" s="8" t="s">
        <v>280</v>
      </c>
      <c r="F39" s="25">
        <v>17</v>
      </c>
      <c r="G39" s="8"/>
    </row>
    <row r="40" spans="1:7" ht="25.05" customHeight="1">
      <c r="A40" s="6">
        <v>37</v>
      </c>
      <c r="B40" s="7" t="s">
        <v>20</v>
      </c>
      <c r="C40" s="6" t="s">
        <v>21</v>
      </c>
      <c r="D40" s="3" t="s">
        <v>219</v>
      </c>
      <c r="E40" s="9" t="s">
        <v>248</v>
      </c>
      <c r="F40" s="79">
        <f>SUM(F36:F39)</f>
        <v>54.56</v>
      </c>
      <c r="G40" s="9"/>
    </row>
    <row r="41" spans="1:7" ht="25.05" customHeight="1">
      <c r="A41" s="6">
        <v>38</v>
      </c>
      <c r="B41" s="7" t="s">
        <v>20</v>
      </c>
      <c r="C41" s="6" t="s">
        <v>21</v>
      </c>
      <c r="D41" s="6" t="s">
        <v>249</v>
      </c>
      <c r="E41" s="8" t="s">
        <v>281</v>
      </c>
      <c r="F41" s="25">
        <v>10</v>
      </c>
      <c r="G41" s="8"/>
    </row>
    <row r="42" spans="1:7" ht="25.05" customHeight="1">
      <c r="A42" s="6">
        <v>39</v>
      </c>
      <c r="B42" s="7" t="s">
        <v>20</v>
      </c>
      <c r="C42" s="6" t="s">
        <v>21</v>
      </c>
      <c r="D42" s="6" t="s">
        <v>249</v>
      </c>
      <c r="E42" s="8" t="s">
        <v>282</v>
      </c>
      <c r="F42" s="25">
        <v>10</v>
      </c>
      <c r="G42" s="8"/>
    </row>
    <row r="43" spans="1:7" ht="25.05" customHeight="1">
      <c r="A43" s="6">
        <v>40</v>
      </c>
      <c r="B43" s="7" t="s">
        <v>20</v>
      </c>
      <c r="C43" s="6" t="s">
        <v>21</v>
      </c>
      <c r="D43" s="6" t="s">
        <v>249</v>
      </c>
      <c r="E43" s="8" t="s">
        <v>283</v>
      </c>
      <c r="F43" s="25">
        <v>45</v>
      </c>
      <c r="G43" s="8"/>
    </row>
    <row r="44" spans="1:7" ht="25.05" customHeight="1">
      <c r="A44" s="6">
        <v>41</v>
      </c>
      <c r="B44" s="7" t="s">
        <v>20</v>
      </c>
      <c r="C44" s="6" t="s">
        <v>21</v>
      </c>
      <c r="D44" s="6" t="s">
        <v>249</v>
      </c>
      <c r="E44" s="8" t="s">
        <v>284</v>
      </c>
      <c r="F44" s="25">
        <v>10</v>
      </c>
      <c r="G44" s="8"/>
    </row>
    <row r="45" spans="1:7" ht="25.05" customHeight="1">
      <c r="A45" s="6">
        <v>42</v>
      </c>
      <c r="B45" s="7" t="s">
        <v>20</v>
      </c>
      <c r="C45" s="6" t="s">
        <v>21</v>
      </c>
      <c r="D45" s="6" t="s">
        <v>249</v>
      </c>
      <c r="E45" s="8" t="s">
        <v>285</v>
      </c>
      <c r="F45" s="25">
        <v>5</v>
      </c>
      <c r="G45" s="8"/>
    </row>
    <row r="46" spans="1:7" ht="25.05" customHeight="1">
      <c r="A46" s="6">
        <v>43</v>
      </c>
      <c r="B46" s="7" t="s">
        <v>20</v>
      </c>
      <c r="C46" s="6" t="s">
        <v>21</v>
      </c>
      <c r="D46" s="3" t="s">
        <v>219</v>
      </c>
      <c r="E46" s="9" t="s">
        <v>255</v>
      </c>
      <c r="F46" s="79">
        <f>SUM(F41:F45)</f>
        <v>80</v>
      </c>
      <c r="G46" s="9"/>
    </row>
    <row r="47" spans="1:7" ht="25.05" customHeight="1">
      <c r="A47" s="6">
        <v>44</v>
      </c>
      <c r="B47" s="7" t="s">
        <v>20</v>
      </c>
      <c r="C47" s="6" t="s">
        <v>21</v>
      </c>
      <c r="D47" s="82" t="s">
        <v>256</v>
      </c>
      <c r="E47" s="11" t="s">
        <v>286</v>
      </c>
      <c r="F47" s="106">
        <v>10</v>
      </c>
      <c r="G47" s="8"/>
    </row>
    <row r="48" spans="1:7" ht="25.05" customHeight="1">
      <c r="A48" s="6">
        <v>45</v>
      </c>
      <c r="B48" s="7" t="s">
        <v>20</v>
      </c>
      <c r="C48" s="6" t="s">
        <v>21</v>
      </c>
      <c r="D48" s="3" t="s">
        <v>219</v>
      </c>
      <c r="E48" s="9" t="s">
        <v>258</v>
      </c>
      <c r="F48" s="79">
        <f>SUM(F47)</f>
        <v>10</v>
      </c>
      <c r="G48" s="9"/>
    </row>
    <row r="49" spans="1:7" ht="25.05" customHeight="1">
      <c r="A49" s="6">
        <v>46</v>
      </c>
      <c r="B49" s="7" t="s">
        <v>20</v>
      </c>
      <c r="C49" s="6" t="s">
        <v>21</v>
      </c>
      <c r="D49" s="6" t="s">
        <v>262</v>
      </c>
      <c r="E49" s="8" t="s">
        <v>263</v>
      </c>
      <c r="F49" s="25">
        <v>85</v>
      </c>
      <c r="G49" s="8"/>
    </row>
    <row r="50" spans="1:7" ht="25.05" customHeight="1">
      <c r="A50" s="6">
        <v>47</v>
      </c>
      <c r="B50" s="7" t="s">
        <v>20</v>
      </c>
      <c r="C50" s="6" t="s">
        <v>21</v>
      </c>
      <c r="D50" s="6" t="s">
        <v>262</v>
      </c>
      <c r="E50" s="8" t="s">
        <v>264</v>
      </c>
      <c r="F50" s="25">
        <v>40</v>
      </c>
      <c r="G50" s="8"/>
    </row>
    <row r="51" spans="1:7" ht="25.05" customHeight="1">
      <c r="A51" s="6">
        <v>48</v>
      </c>
      <c r="B51" s="7" t="s">
        <v>20</v>
      </c>
      <c r="C51" s="6" t="s">
        <v>21</v>
      </c>
      <c r="D51" s="6" t="s">
        <v>262</v>
      </c>
      <c r="E51" s="8" t="s">
        <v>265</v>
      </c>
      <c r="F51" s="25">
        <v>20</v>
      </c>
      <c r="G51" s="8"/>
    </row>
    <row r="52" spans="1:7" ht="25.05" customHeight="1">
      <c r="A52" s="6">
        <v>49</v>
      </c>
      <c r="B52" s="7" t="s">
        <v>20</v>
      </c>
      <c r="C52" s="6" t="s">
        <v>21</v>
      </c>
      <c r="D52" s="3" t="s">
        <v>219</v>
      </c>
      <c r="E52" s="9" t="s">
        <v>266</v>
      </c>
      <c r="F52" s="79">
        <f>SUM(F49:F51)</f>
        <v>145</v>
      </c>
      <c r="G52" s="9"/>
    </row>
    <row r="53" spans="1:7" ht="25.05" customHeight="1">
      <c r="A53" s="6">
        <v>50</v>
      </c>
      <c r="B53" s="7" t="s">
        <v>20</v>
      </c>
      <c r="C53" s="6" t="s">
        <v>21</v>
      </c>
      <c r="D53" s="3" t="s">
        <v>267</v>
      </c>
      <c r="E53" s="10" t="s">
        <v>287</v>
      </c>
      <c r="F53" s="85">
        <v>925</v>
      </c>
      <c r="G53" s="9"/>
    </row>
    <row r="54" spans="1:7" ht="25.05" customHeight="1">
      <c r="A54" s="220" t="s">
        <v>288</v>
      </c>
      <c r="B54" s="221"/>
      <c r="C54" s="221"/>
      <c r="D54" s="221"/>
      <c r="E54" s="221"/>
      <c r="F54" s="221"/>
      <c r="G54" s="222"/>
    </row>
  </sheetData>
  <autoFilter ref="A3:G54" xr:uid="{00000000-0009-0000-0000-000002000000}"/>
  <mergeCells count="3">
    <mergeCell ref="A1:G1"/>
    <mergeCell ref="A2:G2"/>
    <mergeCell ref="A54:G54"/>
  </mergeCells>
  <phoneticPr fontId="23" type="noConversion"/>
  <pageMargins left="0.59055118110236204" right="0.23622047244094499" top="0.43307086614173201" bottom="0.511811023622047" header="0.43307086614173201" footer="0.23622047244094499"/>
  <pageSetup paperSize="9" orientation="portrait" r:id="rId1"/>
  <headerFooter>
    <oddFooter>&amp;C&amp;8第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view="pageBreakPreview" zoomScale="115" zoomScaleNormal="100" workbookViewId="0">
      <pane ySplit="3" topLeftCell="A22" activePane="bottomLeft" state="frozen"/>
      <selection pane="bottomLeft" activeCell="E8" sqref="E8"/>
    </sheetView>
  </sheetViews>
  <sheetFormatPr defaultColWidth="9" defaultRowHeight="19.05" customHeight="1"/>
  <cols>
    <col min="1" max="1" width="4.06640625" style="128" customWidth="1"/>
    <col min="2" max="2" width="10.33203125" style="144" customWidth="1"/>
    <col min="3" max="4" width="11.73046875" style="128" customWidth="1"/>
    <col min="5" max="5" width="44.33203125" style="128" customWidth="1"/>
    <col min="6" max="6" width="6.33203125" style="146" customWidth="1"/>
    <col min="7" max="7" width="8.265625" style="128" customWidth="1"/>
    <col min="8" max="16384" width="9" style="129"/>
  </cols>
  <sheetData>
    <row r="1" spans="1:7" ht="25.05" customHeight="1">
      <c r="A1" s="223" t="s">
        <v>289</v>
      </c>
      <c r="B1" s="223"/>
      <c r="C1" s="223"/>
      <c r="D1" s="223"/>
      <c r="E1" s="223"/>
      <c r="F1" s="223"/>
      <c r="G1" s="223"/>
    </row>
    <row r="2" spans="1:7" ht="25.05" customHeight="1">
      <c r="A2" s="224" t="s">
        <v>290</v>
      </c>
      <c r="B2" s="224"/>
      <c r="C2" s="224"/>
      <c r="D2" s="224"/>
      <c r="E2" s="224"/>
      <c r="F2" s="224"/>
      <c r="G2" s="224"/>
    </row>
    <row r="3" spans="1:7" ht="25.05" customHeight="1">
      <c r="A3" s="130" t="s">
        <v>203</v>
      </c>
      <c r="B3" s="131" t="s">
        <v>204</v>
      </c>
      <c r="C3" s="130" t="s">
        <v>205</v>
      </c>
      <c r="D3" s="130" t="s">
        <v>206</v>
      </c>
      <c r="E3" s="132" t="s">
        <v>207</v>
      </c>
      <c r="F3" s="132" t="s">
        <v>208</v>
      </c>
      <c r="G3" s="132" t="s">
        <v>11</v>
      </c>
    </row>
    <row r="4" spans="1:7" ht="25.05" customHeight="1">
      <c r="A4" s="133">
        <v>1</v>
      </c>
      <c r="B4" s="134" t="s">
        <v>23</v>
      </c>
      <c r="C4" s="133" t="s">
        <v>291</v>
      </c>
      <c r="D4" s="133" t="s">
        <v>209</v>
      </c>
      <c r="E4" s="135" t="s">
        <v>210</v>
      </c>
      <c r="F4" s="141">
        <v>19</v>
      </c>
      <c r="G4" s="135"/>
    </row>
    <row r="5" spans="1:7" ht="25.05" customHeight="1">
      <c r="A5" s="133">
        <v>2</v>
      </c>
      <c r="B5" s="134" t="s">
        <v>23</v>
      </c>
      <c r="C5" s="133" t="s">
        <v>291</v>
      </c>
      <c r="D5" s="133" t="s">
        <v>209</v>
      </c>
      <c r="E5" s="135" t="s">
        <v>211</v>
      </c>
      <c r="F5" s="141">
        <v>15</v>
      </c>
      <c r="G5" s="135"/>
    </row>
    <row r="6" spans="1:7" ht="25.05" customHeight="1">
      <c r="A6" s="133">
        <v>3</v>
      </c>
      <c r="B6" s="134" t="s">
        <v>23</v>
      </c>
      <c r="C6" s="133" t="s">
        <v>291</v>
      </c>
      <c r="D6" s="133" t="s">
        <v>209</v>
      </c>
      <c r="E6" s="135" t="s">
        <v>212</v>
      </c>
      <c r="F6" s="141">
        <v>34</v>
      </c>
      <c r="G6" s="135"/>
    </row>
    <row r="7" spans="1:7" ht="25.05" customHeight="1">
      <c r="A7" s="133">
        <v>4</v>
      </c>
      <c r="B7" s="134" t="s">
        <v>23</v>
      </c>
      <c r="C7" s="133" t="s">
        <v>291</v>
      </c>
      <c r="D7" s="133" t="s">
        <v>209</v>
      </c>
      <c r="E7" s="135" t="s">
        <v>272</v>
      </c>
      <c r="F7" s="141">
        <v>34</v>
      </c>
      <c r="G7" s="135"/>
    </row>
    <row r="8" spans="1:7" ht="25.05" customHeight="1">
      <c r="A8" s="133">
        <v>5</v>
      </c>
      <c r="B8" s="134" t="s">
        <v>23</v>
      </c>
      <c r="C8" s="133" t="s">
        <v>291</v>
      </c>
      <c r="D8" s="133" t="s">
        <v>209</v>
      </c>
      <c r="E8" s="135" t="s">
        <v>214</v>
      </c>
      <c r="F8" s="141">
        <v>26</v>
      </c>
      <c r="G8" s="135"/>
    </row>
    <row r="9" spans="1:7" ht="25.05" customHeight="1">
      <c r="A9" s="133">
        <v>6</v>
      </c>
      <c r="B9" s="134" t="s">
        <v>23</v>
      </c>
      <c r="C9" s="133" t="s">
        <v>291</v>
      </c>
      <c r="D9" s="133" t="s">
        <v>209</v>
      </c>
      <c r="E9" s="135" t="s">
        <v>215</v>
      </c>
      <c r="F9" s="141">
        <v>10</v>
      </c>
      <c r="G9" s="135"/>
    </row>
    <row r="10" spans="1:7" ht="25.05" customHeight="1">
      <c r="A10" s="133">
        <v>7</v>
      </c>
      <c r="B10" s="134" t="s">
        <v>23</v>
      </c>
      <c r="C10" s="133" t="s">
        <v>291</v>
      </c>
      <c r="D10" s="133" t="s">
        <v>209</v>
      </c>
      <c r="E10" s="135" t="s">
        <v>216</v>
      </c>
      <c r="F10" s="141">
        <v>35</v>
      </c>
      <c r="G10" s="135"/>
    </row>
    <row r="11" spans="1:7" ht="25.05" customHeight="1">
      <c r="A11" s="133">
        <v>8</v>
      </c>
      <c r="B11" s="134" t="s">
        <v>23</v>
      </c>
      <c r="C11" s="133" t="s">
        <v>291</v>
      </c>
      <c r="D11" s="133" t="s">
        <v>209</v>
      </c>
      <c r="E11" s="135" t="s">
        <v>292</v>
      </c>
      <c r="F11" s="141">
        <v>12</v>
      </c>
      <c r="G11" s="135"/>
    </row>
    <row r="12" spans="1:7" ht="25.05" customHeight="1">
      <c r="A12" s="133">
        <v>9</v>
      </c>
      <c r="B12" s="134" t="s">
        <v>23</v>
      </c>
      <c r="C12" s="133" t="s">
        <v>291</v>
      </c>
      <c r="D12" s="133" t="s">
        <v>209</v>
      </c>
      <c r="E12" s="135" t="s">
        <v>217</v>
      </c>
      <c r="F12" s="141">
        <v>55</v>
      </c>
      <c r="G12" s="135"/>
    </row>
    <row r="13" spans="1:7" ht="25.05" customHeight="1">
      <c r="A13" s="133">
        <v>10</v>
      </c>
      <c r="B13" s="134" t="s">
        <v>23</v>
      </c>
      <c r="C13" s="133" t="s">
        <v>291</v>
      </c>
      <c r="D13" s="133" t="s">
        <v>209</v>
      </c>
      <c r="E13" s="135" t="s">
        <v>218</v>
      </c>
      <c r="F13" s="141">
        <v>10</v>
      </c>
      <c r="G13" s="135"/>
    </row>
    <row r="14" spans="1:7" ht="25.05" customHeight="1">
      <c r="A14" s="133">
        <v>11</v>
      </c>
      <c r="B14" s="134" t="s">
        <v>23</v>
      </c>
      <c r="C14" s="133" t="s">
        <v>291</v>
      </c>
      <c r="D14" s="130" t="s">
        <v>219</v>
      </c>
      <c r="E14" s="136" t="s">
        <v>220</v>
      </c>
      <c r="F14" s="147">
        <f>SUM(F4:F13)</f>
        <v>250</v>
      </c>
      <c r="G14" s="157"/>
    </row>
    <row r="15" spans="1:7" ht="25.05" customHeight="1">
      <c r="A15" s="133">
        <v>12</v>
      </c>
      <c r="B15" s="134" t="s">
        <v>23</v>
      </c>
      <c r="C15" s="133" t="s">
        <v>291</v>
      </c>
      <c r="D15" s="133" t="s">
        <v>221</v>
      </c>
      <c r="E15" s="135" t="s">
        <v>222</v>
      </c>
      <c r="F15" s="141">
        <v>14</v>
      </c>
      <c r="G15" s="135"/>
    </row>
    <row r="16" spans="1:7" ht="25.05" customHeight="1">
      <c r="A16" s="133">
        <v>13</v>
      </c>
      <c r="B16" s="134" t="s">
        <v>23</v>
      </c>
      <c r="C16" s="133" t="s">
        <v>291</v>
      </c>
      <c r="D16" s="133" t="s">
        <v>221</v>
      </c>
      <c r="E16" s="135" t="s">
        <v>293</v>
      </c>
      <c r="F16" s="141">
        <v>22</v>
      </c>
      <c r="G16" s="135"/>
    </row>
    <row r="17" spans="1:7" ht="25.05" customHeight="1">
      <c r="A17" s="133">
        <v>14</v>
      </c>
      <c r="B17" s="134" t="s">
        <v>23</v>
      </c>
      <c r="C17" s="133" t="s">
        <v>291</v>
      </c>
      <c r="D17" s="133" t="s">
        <v>221</v>
      </c>
      <c r="E17" s="135" t="s">
        <v>224</v>
      </c>
      <c r="F17" s="141">
        <v>9</v>
      </c>
      <c r="G17" s="135"/>
    </row>
    <row r="18" spans="1:7" ht="25.05" customHeight="1">
      <c r="A18" s="133">
        <v>15</v>
      </c>
      <c r="B18" s="134" t="s">
        <v>23</v>
      </c>
      <c r="C18" s="133" t="s">
        <v>291</v>
      </c>
      <c r="D18" s="133" t="s">
        <v>221</v>
      </c>
      <c r="E18" s="135" t="s">
        <v>225</v>
      </c>
      <c r="F18" s="141">
        <v>20</v>
      </c>
      <c r="G18" s="135"/>
    </row>
    <row r="19" spans="1:7" ht="25.05" customHeight="1">
      <c r="A19" s="133">
        <v>16</v>
      </c>
      <c r="B19" s="134" t="s">
        <v>23</v>
      </c>
      <c r="C19" s="133" t="s">
        <v>291</v>
      </c>
      <c r="D19" s="133" t="s">
        <v>221</v>
      </c>
      <c r="E19" s="135" t="s">
        <v>294</v>
      </c>
      <c r="F19" s="141">
        <v>22</v>
      </c>
      <c r="G19" s="135"/>
    </row>
    <row r="20" spans="1:7" ht="25.05" customHeight="1">
      <c r="A20" s="133">
        <v>17</v>
      </c>
      <c r="B20" s="134" t="s">
        <v>23</v>
      </c>
      <c r="C20" s="133" t="s">
        <v>291</v>
      </c>
      <c r="D20" s="133" t="s">
        <v>221</v>
      </c>
      <c r="E20" s="135" t="s">
        <v>227</v>
      </c>
      <c r="F20" s="141">
        <v>20</v>
      </c>
      <c r="G20" s="135"/>
    </row>
    <row r="21" spans="1:7" ht="25.05" customHeight="1">
      <c r="A21" s="133">
        <v>18</v>
      </c>
      <c r="B21" s="134" t="s">
        <v>23</v>
      </c>
      <c r="C21" s="133" t="s">
        <v>291</v>
      </c>
      <c r="D21" s="130" t="s">
        <v>219</v>
      </c>
      <c r="E21" s="136" t="s">
        <v>228</v>
      </c>
      <c r="F21" s="147">
        <f>SUM(F15:F20)</f>
        <v>107</v>
      </c>
      <c r="G21" s="157"/>
    </row>
    <row r="22" spans="1:7" ht="25.05" customHeight="1">
      <c r="A22" s="133">
        <v>19</v>
      </c>
      <c r="B22" s="134" t="s">
        <v>23</v>
      </c>
      <c r="C22" s="133" t="s">
        <v>291</v>
      </c>
      <c r="D22" s="133" t="s">
        <v>229</v>
      </c>
      <c r="E22" s="135" t="s">
        <v>230</v>
      </c>
      <c r="F22" s="141">
        <v>14</v>
      </c>
      <c r="G22" s="135"/>
    </row>
    <row r="23" spans="1:7" ht="25.05" customHeight="1">
      <c r="A23" s="133">
        <v>20</v>
      </c>
      <c r="B23" s="134" t="s">
        <v>23</v>
      </c>
      <c r="C23" s="133" t="s">
        <v>291</v>
      </c>
      <c r="D23" s="133" t="s">
        <v>229</v>
      </c>
      <c r="E23" s="135" t="s">
        <v>295</v>
      </c>
      <c r="F23" s="141">
        <v>32</v>
      </c>
      <c r="G23" s="135"/>
    </row>
    <row r="24" spans="1:7" ht="25.05" customHeight="1">
      <c r="A24" s="133">
        <v>21</v>
      </c>
      <c r="B24" s="134" t="s">
        <v>23</v>
      </c>
      <c r="C24" s="133" t="s">
        <v>291</v>
      </c>
      <c r="D24" s="133" t="s">
        <v>229</v>
      </c>
      <c r="E24" s="135" t="s">
        <v>232</v>
      </c>
      <c r="F24" s="141">
        <v>18</v>
      </c>
      <c r="G24" s="135"/>
    </row>
    <row r="25" spans="1:7" ht="25.05" customHeight="1">
      <c r="A25" s="133">
        <v>22</v>
      </c>
      <c r="B25" s="134" t="s">
        <v>23</v>
      </c>
      <c r="C25" s="133" t="s">
        <v>291</v>
      </c>
      <c r="D25" s="133" t="s">
        <v>229</v>
      </c>
      <c r="E25" s="135" t="s">
        <v>233</v>
      </c>
      <c r="F25" s="141">
        <v>25</v>
      </c>
      <c r="G25" s="135"/>
    </row>
    <row r="26" spans="1:7" ht="25.05" customHeight="1">
      <c r="A26" s="133">
        <v>23</v>
      </c>
      <c r="B26" s="134" t="s">
        <v>23</v>
      </c>
      <c r="C26" s="133" t="s">
        <v>291</v>
      </c>
      <c r="D26" s="133" t="s">
        <v>229</v>
      </c>
      <c r="E26" s="135" t="s">
        <v>234</v>
      </c>
      <c r="F26" s="141">
        <v>19</v>
      </c>
      <c r="G26" s="135"/>
    </row>
    <row r="27" spans="1:7" ht="25.05" customHeight="1">
      <c r="A27" s="133">
        <v>24</v>
      </c>
      <c r="B27" s="134" t="s">
        <v>23</v>
      </c>
      <c r="C27" s="133" t="s">
        <v>291</v>
      </c>
      <c r="D27" s="133" t="s">
        <v>229</v>
      </c>
      <c r="E27" s="135" t="s">
        <v>235</v>
      </c>
      <c r="F27" s="141">
        <v>10</v>
      </c>
      <c r="G27" s="135"/>
    </row>
    <row r="28" spans="1:7" ht="25.05" customHeight="1">
      <c r="A28" s="133">
        <v>25</v>
      </c>
      <c r="B28" s="134" t="s">
        <v>23</v>
      </c>
      <c r="C28" s="133" t="s">
        <v>291</v>
      </c>
      <c r="D28" s="133" t="s">
        <v>229</v>
      </c>
      <c r="E28" s="135" t="s">
        <v>236</v>
      </c>
      <c r="F28" s="141">
        <v>9</v>
      </c>
      <c r="G28" s="135"/>
    </row>
    <row r="29" spans="1:7" ht="30.5" customHeight="1">
      <c r="A29" s="133">
        <v>26</v>
      </c>
      <c r="B29" s="134" t="s">
        <v>23</v>
      </c>
      <c r="C29" s="133" t="s">
        <v>291</v>
      </c>
      <c r="D29" s="133" t="s">
        <v>229</v>
      </c>
      <c r="E29" s="138" t="s">
        <v>296</v>
      </c>
      <c r="F29" s="141">
        <v>8</v>
      </c>
      <c r="G29" s="135"/>
    </row>
    <row r="30" spans="1:7" s="125" customFormat="1" ht="25.05" customHeight="1">
      <c r="A30" s="133">
        <v>27</v>
      </c>
      <c r="B30" s="134" t="s">
        <v>23</v>
      </c>
      <c r="C30" s="133" t="s">
        <v>291</v>
      </c>
      <c r="D30" s="20" t="s">
        <v>229</v>
      </c>
      <c r="E30" s="22" t="s">
        <v>297</v>
      </c>
      <c r="F30" s="22">
        <v>8</v>
      </c>
      <c r="G30" s="135"/>
    </row>
    <row r="31" spans="1:7" s="125" customFormat="1" ht="25.05" customHeight="1">
      <c r="A31" s="133">
        <v>28</v>
      </c>
      <c r="B31" s="134" t="s">
        <v>23</v>
      </c>
      <c r="C31" s="133" t="s">
        <v>291</v>
      </c>
      <c r="D31" s="20" t="s">
        <v>229</v>
      </c>
      <c r="E31" s="43" t="s">
        <v>298</v>
      </c>
      <c r="F31" s="158">
        <v>20</v>
      </c>
      <c r="G31" s="135"/>
    </row>
    <row r="32" spans="1:7" ht="25.05" customHeight="1">
      <c r="A32" s="133">
        <v>29</v>
      </c>
      <c r="B32" s="134" t="s">
        <v>23</v>
      </c>
      <c r="C32" s="133" t="s">
        <v>291</v>
      </c>
      <c r="D32" s="130" t="s">
        <v>219</v>
      </c>
      <c r="E32" s="136" t="s">
        <v>238</v>
      </c>
      <c r="F32" s="147">
        <f>SUM(F22:F31)</f>
        <v>163</v>
      </c>
      <c r="G32" s="157"/>
    </row>
    <row r="33" spans="1:7" ht="25.05" customHeight="1">
      <c r="A33" s="133">
        <v>30</v>
      </c>
      <c r="B33" s="134" t="s">
        <v>23</v>
      </c>
      <c r="C33" s="133" t="s">
        <v>291</v>
      </c>
      <c r="D33" s="133" t="s">
        <v>239</v>
      </c>
      <c r="E33" s="135" t="s">
        <v>240</v>
      </c>
      <c r="F33" s="141">
        <v>70</v>
      </c>
      <c r="G33" s="135"/>
    </row>
    <row r="34" spans="1:7" ht="25.05" customHeight="1">
      <c r="A34" s="133">
        <v>31</v>
      </c>
      <c r="B34" s="134" t="s">
        <v>23</v>
      </c>
      <c r="C34" s="133" t="s">
        <v>291</v>
      </c>
      <c r="D34" s="133" t="s">
        <v>239</v>
      </c>
      <c r="E34" s="135" t="s">
        <v>241</v>
      </c>
      <c r="F34" s="141">
        <v>60</v>
      </c>
      <c r="G34" s="135"/>
    </row>
    <row r="35" spans="1:7" ht="25.05" customHeight="1">
      <c r="A35" s="133">
        <v>32</v>
      </c>
      <c r="B35" s="134" t="s">
        <v>23</v>
      </c>
      <c r="C35" s="133" t="s">
        <v>291</v>
      </c>
      <c r="D35" s="130" t="s">
        <v>219</v>
      </c>
      <c r="E35" s="136" t="s">
        <v>242</v>
      </c>
      <c r="F35" s="147">
        <f>SUM(F33:F34)</f>
        <v>130</v>
      </c>
      <c r="G35" s="157"/>
    </row>
    <row r="36" spans="1:7" ht="25.05" customHeight="1">
      <c r="A36" s="133">
        <v>33</v>
      </c>
      <c r="B36" s="134" t="s">
        <v>23</v>
      </c>
      <c r="C36" s="133" t="s">
        <v>291</v>
      </c>
      <c r="D36" s="133" t="s">
        <v>259</v>
      </c>
      <c r="E36" s="135" t="s">
        <v>299</v>
      </c>
      <c r="F36" s="141">
        <v>20</v>
      </c>
      <c r="G36" s="135"/>
    </row>
    <row r="37" spans="1:7" ht="25.05" customHeight="1">
      <c r="A37" s="133">
        <v>34</v>
      </c>
      <c r="B37" s="134" t="s">
        <v>23</v>
      </c>
      <c r="C37" s="133" t="s">
        <v>291</v>
      </c>
      <c r="D37" s="130" t="s">
        <v>219</v>
      </c>
      <c r="E37" s="136" t="s">
        <v>300</v>
      </c>
      <c r="F37" s="147">
        <f>SUM(F36:F36)</f>
        <v>20</v>
      </c>
      <c r="G37" s="157"/>
    </row>
    <row r="38" spans="1:7" ht="25.05" customHeight="1">
      <c r="A38" s="133">
        <v>35</v>
      </c>
      <c r="B38" s="134" t="s">
        <v>23</v>
      </c>
      <c r="C38" s="133" t="s">
        <v>291</v>
      </c>
      <c r="D38" s="133" t="s">
        <v>243</v>
      </c>
      <c r="E38" s="135" t="s">
        <v>301</v>
      </c>
      <c r="F38" s="141">
        <v>7.2</v>
      </c>
      <c r="G38" s="135"/>
    </row>
    <row r="39" spans="1:7" ht="25.05" customHeight="1">
      <c r="A39" s="133">
        <v>36</v>
      </c>
      <c r="B39" s="134" t="s">
        <v>23</v>
      </c>
      <c r="C39" s="133" t="s">
        <v>291</v>
      </c>
      <c r="D39" s="133" t="s">
        <v>243</v>
      </c>
      <c r="E39" s="135" t="s">
        <v>302</v>
      </c>
      <c r="F39" s="141">
        <v>7.2</v>
      </c>
      <c r="G39" s="135"/>
    </row>
    <row r="40" spans="1:7" ht="25.05" customHeight="1">
      <c r="A40" s="133">
        <v>37</v>
      </c>
      <c r="B40" s="134" t="s">
        <v>23</v>
      </c>
      <c r="C40" s="133" t="s">
        <v>291</v>
      </c>
      <c r="D40" s="133" t="s">
        <v>243</v>
      </c>
      <c r="E40" s="135" t="s">
        <v>303</v>
      </c>
      <c r="F40" s="141">
        <v>15.84</v>
      </c>
      <c r="G40" s="135"/>
    </row>
    <row r="41" spans="1:7" ht="25.05" customHeight="1">
      <c r="A41" s="133">
        <v>38</v>
      </c>
      <c r="B41" s="134" t="s">
        <v>23</v>
      </c>
      <c r="C41" s="133" t="s">
        <v>291</v>
      </c>
      <c r="D41" s="133" t="s">
        <v>243</v>
      </c>
      <c r="E41" s="135" t="s">
        <v>247</v>
      </c>
      <c r="F41" s="141">
        <v>2</v>
      </c>
      <c r="G41" s="135"/>
    </row>
    <row r="42" spans="1:7" ht="25.05" customHeight="1">
      <c r="A42" s="133">
        <v>39</v>
      </c>
      <c r="B42" s="134" t="s">
        <v>23</v>
      </c>
      <c r="C42" s="133" t="s">
        <v>291</v>
      </c>
      <c r="D42" s="130" t="s">
        <v>219</v>
      </c>
      <c r="E42" s="136" t="s">
        <v>248</v>
      </c>
      <c r="F42" s="147">
        <f>SUM(F38:F41)</f>
        <v>32.24</v>
      </c>
      <c r="G42" s="157"/>
    </row>
    <row r="43" spans="1:7" ht="25.05" customHeight="1">
      <c r="A43" s="133">
        <v>40</v>
      </c>
      <c r="B43" s="134" t="s">
        <v>23</v>
      </c>
      <c r="C43" s="133" t="s">
        <v>291</v>
      </c>
      <c r="D43" s="133" t="s">
        <v>249</v>
      </c>
      <c r="E43" s="135" t="s">
        <v>304</v>
      </c>
      <c r="F43" s="141">
        <v>7</v>
      </c>
      <c r="G43" s="135"/>
    </row>
    <row r="44" spans="1:7" ht="25.05" customHeight="1">
      <c r="A44" s="133">
        <v>41</v>
      </c>
      <c r="B44" s="134" t="s">
        <v>23</v>
      </c>
      <c r="C44" s="133" t="s">
        <v>291</v>
      </c>
      <c r="D44" s="133" t="s">
        <v>249</v>
      </c>
      <c r="E44" s="135" t="s">
        <v>251</v>
      </c>
      <c r="F44" s="141">
        <v>7</v>
      </c>
      <c r="G44" s="135"/>
    </row>
    <row r="45" spans="1:7" ht="25.05" customHeight="1">
      <c r="A45" s="133">
        <v>42</v>
      </c>
      <c r="B45" s="134" t="s">
        <v>23</v>
      </c>
      <c r="C45" s="133" t="s">
        <v>291</v>
      </c>
      <c r="D45" s="133" t="s">
        <v>249</v>
      </c>
      <c r="E45" s="135" t="s">
        <v>252</v>
      </c>
      <c r="F45" s="141">
        <v>31.5</v>
      </c>
      <c r="G45" s="135"/>
    </row>
    <row r="46" spans="1:7" ht="25.05" customHeight="1">
      <c r="A46" s="133">
        <v>43</v>
      </c>
      <c r="B46" s="134" t="s">
        <v>23</v>
      </c>
      <c r="C46" s="133" t="s">
        <v>291</v>
      </c>
      <c r="D46" s="133" t="s">
        <v>249</v>
      </c>
      <c r="E46" s="135" t="s">
        <v>253</v>
      </c>
      <c r="F46" s="141">
        <v>7</v>
      </c>
      <c r="G46" s="135"/>
    </row>
    <row r="47" spans="1:7" ht="25.05" customHeight="1">
      <c r="A47" s="133">
        <v>44</v>
      </c>
      <c r="B47" s="134" t="s">
        <v>23</v>
      </c>
      <c r="C47" s="133" t="s">
        <v>291</v>
      </c>
      <c r="D47" s="133" t="s">
        <v>249</v>
      </c>
      <c r="E47" s="135" t="s">
        <v>305</v>
      </c>
      <c r="F47" s="141">
        <v>3</v>
      </c>
      <c r="G47" s="135"/>
    </row>
    <row r="48" spans="1:7" ht="25.05" customHeight="1">
      <c r="A48" s="133">
        <v>45</v>
      </c>
      <c r="B48" s="134" t="s">
        <v>23</v>
      </c>
      <c r="C48" s="133" t="s">
        <v>291</v>
      </c>
      <c r="D48" s="20" t="s">
        <v>249</v>
      </c>
      <c r="E48" s="22" t="s">
        <v>306</v>
      </c>
      <c r="F48" s="22">
        <v>10</v>
      </c>
      <c r="G48" s="159"/>
    </row>
    <row r="49" spans="1:7" ht="25.05" customHeight="1">
      <c r="A49" s="133">
        <v>46</v>
      </c>
      <c r="B49" s="134" t="s">
        <v>23</v>
      </c>
      <c r="C49" s="133" t="s">
        <v>291</v>
      </c>
      <c r="D49" s="20" t="s">
        <v>249</v>
      </c>
      <c r="E49" s="22" t="s">
        <v>307</v>
      </c>
      <c r="F49" s="22">
        <v>10</v>
      </c>
      <c r="G49" s="22"/>
    </row>
    <row r="50" spans="1:7" ht="25.05" customHeight="1">
      <c r="A50" s="133">
        <v>47</v>
      </c>
      <c r="B50" s="134" t="s">
        <v>23</v>
      </c>
      <c r="C50" s="133" t="s">
        <v>291</v>
      </c>
      <c r="D50" s="130" t="s">
        <v>219</v>
      </c>
      <c r="E50" s="136" t="s">
        <v>255</v>
      </c>
      <c r="F50" s="147">
        <f>SUM(F43:F49)</f>
        <v>75.5</v>
      </c>
      <c r="G50" s="157"/>
    </row>
    <row r="51" spans="1:7" ht="25.05" customHeight="1">
      <c r="A51" s="133">
        <v>48</v>
      </c>
      <c r="B51" s="134" t="s">
        <v>23</v>
      </c>
      <c r="C51" s="133" t="s">
        <v>291</v>
      </c>
      <c r="D51" s="133" t="s">
        <v>262</v>
      </c>
      <c r="E51" s="135" t="s">
        <v>263</v>
      </c>
      <c r="F51" s="141">
        <v>85</v>
      </c>
      <c r="G51" s="135"/>
    </row>
    <row r="52" spans="1:7" ht="25.05" customHeight="1">
      <c r="A52" s="133">
        <v>49</v>
      </c>
      <c r="B52" s="134" t="s">
        <v>23</v>
      </c>
      <c r="C52" s="133" t="s">
        <v>291</v>
      </c>
      <c r="D52" s="133" t="s">
        <v>262</v>
      </c>
      <c r="E52" s="135" t="s">
        <v>264</v>
      </c>
      <c r="F52" s="141">
        <v>40</v>
      </c>
      <c r="G52" s="135"/>
    </row>
    <row r="53" spans="1:7" ht="25.05" customHeight="1">
      <c r="A53" s="133">
        <v>50</v>
      </c>
      <c r="B53" s="134" t="s">
        <v>23</v>
      </c>
      <c r="C53" s="133" t="s">
        <v>291</v>
      </c>
      <c r="D53" s="133" t="s">
        <v>262</v>
      </c>
      <c r="E53" s="135" t="s">
        <v>265</v>
      </c>
      <c r="F53" s="141">
        <v>20</v>
      </c>
      <c r="G53" s="135"/>
    </row>
    <row r="54" spans="1:7" ht="25.05" customHeight="1">
      <c r="A54" s="133">
        <v>51</v>
      </c>
      <c r="B54" s="134" t="s">
        <v>23</v>
      </c>
      <c r="C54" s="133" t="s">
        <v>291</v>
      </c>
      <c r="D54" s="130" t="s">
        <v>219</v>
      </c>
      <c r="E54" s="136" t="s">
        <v>266</v>
      </c>
      <c r="F54" s="147">
        <f>SUM(F51:F53)</f>
        <v>145</v>
      </c>
      <c r="G54" s="157"/>
    </row>
    <row r="55" spans="1:7" ht="25.05" customHeight="1">
      <c r="A55" s="133">
        <v>52</v>
      </c>
      <c r="B55" s="134" t="s">
        <v>23</v>
      </c>
      <c r="C55" s="133" t="s">
        <v>291</v>
      </c>
      <c r="D55" s="130" t="s">
        <v>267</v>
      </c>
      <c r="E55" s="136" t="s">
        <v>308</v>
      </c>
      <c r="F55" s="147">
        <v>923</v>
      </c>
      <c r="G55" s="157"/>
    </row>
    <row r="56" spans="1:7" ht="25.05" customHeight="1">
      <c r="A56" s="225" t="s">
        <v>309</v>
      </c>
      <c r="B56" s="226"/>
      <c r="C56" s="226"/>
      <c r="D56" s="226"/>
      <c r="E56" s="226"/>
      <c r="F56" s="226"/>
      <c r="G56" s="227"/>
    </row>
  </sheetData>
  <autoFilter ref="A3:G56" xr:uid="{00000000-0009-0000-0000-000003000000}"/>
  <mergeCells count="3">
    <mergeCell ref="A1:G1"/>
    <mergeCell ref="A2:G2"/>
    <mergeCell ref="A56:G56"/>
  </mergeCells>
  <phoneticPr fontId="23" type="noConversion"/>
  <pageMargins left="0.59055118110236204" right="0.196850393700787" top="0.35433070866141703" bottom="0.47244094488188998" header="0.35433070866141703" footer="0.27559055118110198"/>
  <pageSetup paperSize="9" orientation="portrait" r:id="rId1"/>
  <headerFooter>
    <oddFooter>&amp;C&amp;8第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50"/>
  <sheetViews>
    <sheetView view="pageBreakPreview" zoomScale="115" zoomScaleNormal="100" workbookViewId="0">
      <pane ySplit="3" topLeftCell="A4" activePane="bottomLeft" state="frozen"/>
      <selection pane="bottomLeft" activeCell="E5" sqref="E5"/>
    </sheetView>
  </sheetViews>
  <sheetFormatPr defaultColWidth="9" defaultRowHeight="19.05" customHeight="1"/>
  <cols>
    <col min="1" max="1" width="4.06640625" style="1" customWidth="1"/>
    <col min="2" max="2" width="9.59765625" style="2" customWidth="1"/>
    <col min="3" max="3" width="10.9296875" style="1" customWidth="1"/>
    <col min="4" max="4" width="11.59765625" style="1" customWidth="1"/>
    <col min="5" max="5" width="43.06640625" style="1" customWidth="1"/>
    <col min="6" max="6" width="5.796875" style="1" customWidth="1"/>
    <col min="7" max="7" width="9.265625" style="1" customWidth="1"/>
  </cols>
  <sheetData>
    <row r="1" spans="1:7" ht="25.05" customHeight="1">
      <c r="A1" s="215" t="s">
        <v>310</v>
      </c>
      <c r="B1" s="215"/>
      <c r="C1" s="215"/>
      <c r="D1" s="215"/>
      <c r="E1" s="215"/>
      <c r="F1" s="215"/>
      <c r="G1" s="215"/>
    </row>
    <row r="2" spans="1:7" ht="25.05" customHeight="1">
      <c r="A2" s="228" t="s">
        <v>311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27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23</v>
      </c>
      <c r="C5" s="6" t="s">
        <v>27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23</v>
      </c>
      <c r="C6" s="6" t="s">
        <v>27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23</v>
      </c>
      <c r="C7" s="6" t="s">
        <v>27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23</v>
      </c>
      <c r="C8" s="6" t="s">
        <v>27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23</v>
      </c>
      <c r="C9" s="6" t="s">
        <v>27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23</v>
      </c>
      <c r="C10" s="6" t="s">
        <v>27</v>
      </c>
      <c r="D10" s="6" t="s">
        <v>209</v>
      </c>
      <c r="E10" s="8" t="s">
        <v>216</v>
      </c>
      <c r="F10" s="8">
        <v>35</v>
      </c>
      <c r="G10" s="8"/>
    </row>
    <row r="11" spans="1:7" ht="25.05" customHeight="1">
      <c r="A11" s="6">
        <v>8</v>
      </c>
      <c r="B11" s="7" t="s">
        <v>23</v>
      </c>
      <c r="C11" s="6" t="s">
        <v>27</v>
      </c>
      <c r="D11" s="6" t="s">
        <v>209</v>
      </c>
      <c r="E11" s="8" t="s">
        <v>292</v>
      </c>
      <c r="F11" s="8">
        <v>12</v>
      </c>
      <c r="G11" s="8"/>
    </row>
    <row r="12" spans="1:7" ht="25.05" customHeight="1">
      <c r="A12" s="6">
        <v>9</v>
      </c>
      <c r="B12" s="7" t="s">
        <v>23</v>
      </c>
      <c r="C12" s="6" t="s">
        <v>27</v>
      </c>
      <c r="D12" s="6" t="s">
        <v>209</v>
      </c>
      <c r="E12" s="8" t="s">
        <v>313</v>
      </c>
      <c r="F12" s="8">
        <v>55</v>
      </c>
      <c r="G12" s="8"/>
    </row>
    <row r="13" spans="1:7" ht="25.05" customHeight="1">
      <c r="A13" s="6">
        <v>10</v>
      </c>
      <c r="B13" s="7" t="s">
        <v>23</v>
      </c>
      <c r="C13" s="6" t="s">
        <v>27</v>
      </c>
      <c r="D13" s="6" t="s">
        <v>209</v>
      </c>
      <c r="E13" s="8" t="s">
        <v>218</v>
      </c>
      <c r="F13" s="8">
        <v>10</v>
      </c>
      <c r="G13" s="8"/>
    </row>
    <row r="14" spans="1:7" ht="25.05" customHeight="1">
      <c r="A14" s="6">
        <v>11</v>
      </c>
      <c r="B14" s="7" t="s">
        <v>23</v>
      </c>
      <c r="C14" s="6" t="s">
        <v>27</v>
      </c>
      <c r="D14" s="3" t="s">
        <v>219</v>
      </c>
      <c r="E14" s="9" t="s">
        <v>220</v>
      </c>
      <c r="F14" s="9">
        <f>SUM(F4:F13)</f>
        <v>250</v>
      </c>
      <c r="G14" s="9"/>
    </row>
    <row r="15" spans="1:7" ht="25.05" customHeight="1">
      <c r="A15" s="6">
        <v>12</v>
      </c>
      <c r="B15" s="7" t="s">
        <v>23</v>
      </c>
      <c r="C15" s="6" t="s">
        <v>27</v>
      </c>
      <c r="D15" s="6" t="s">
        <v>221</v>
      </c>
      <c r="E15" s="8" t="s">
        <v>222</v>
      </c>
      <c r="F15" s="8">
        <v>14</v>
      </c>
      <c r="G15" s="8"/>
    </row>
    <row r="16" spans="1:7" ht="25.05" customHeight="1">
      <c r="A16" s="6">
        <v>13</v>
      </c>
      <c r="B16" s="7" t="s">
        <v>23</v>
      </c>
      <c r="C16" s="6" t="s">
        <v>27</v>
      </c>
      <c r="D16" s="6" t="s">
        <v>221</v>
      </c>
      <c r="E16" s="8" t="s">
        <v>223</v>
      </c>
      <c r="F16" s="8">
        <v>22</v>
      </c>
      <c r="G16" s="8"/>
    </row>
    <row r="17" spans="1:7" ht="25.05" customHeight="1">
      <c r="A17" s="6">
        <v>14</v>
      </c>
      <c r="B17" s="7" t="s">
        <v>23</v>
      </c>
      <c r="C17" s="6" t="s">
        <v>27</v>
      </c>
      <c r="D17" s="6" t="s">
        <v>221</v>
      </c>
      <c r="E17" s="8" t="s">
        <v>314</v>
      </c>
      <c r="F17" s="8">
        <v>9</v>
      </c>
      <c r="G17" s="8"/>
    </row>
    <row r="18" spans="1:7" ht="25.05" customHeight="1">
      <c r="A18" s="6">
        <v>15</v>
      </c>
      <c r="B18" s="7" t="s">
        <v>23</v>
      </c>
      <c r="C18" s="6" t="s">
        <v>27</v>
      </c>
      <c r="D18" s="6" t="s">
        <v>221</v>
      </c>
      <c r="E18" s="8" t="s">
        <v>225</v>
      </c>
      <c r="F18" s="8">
        <v>20</v>
      </c>
      <c r="G18" s="8"/>
    </row>
    <row r="19" spans="1:7" ht="25.05" customHeight="1">
      <c r="A19" s="6">
        <v>16</v>
      </c>
      <c r="B19" s="7" t="s">
        <v>23</v>
      </c>
      <c r="C19" s="6" t="s">
        <v>27</v>
      </c>
      <c r="D19" s="6" t="s">
        <v>221</v>
      </c>
      <c r="E19" s="8" t="s">
        <v>226</v>
      </c>
      <c r="F19" s="8">
        <v>22</v>
      </c>
      <c r="G19" s="8"/>
    </row>
    <row r="20" spans="1:7" ht="25.05" customHeight="1">
      <c r="A20" s="6">
        <v>17</v>
      </c>
      <c r="B20" s="7" t="s">
        <v>23</v>
      </c>
      <c r="C20" s="6" t="s">
        <v>27</v>
      </c>
      <c r="D20" s="6" t="s">
        <v>221</v>
      </c>
      <c r="E20" s="8" t="s">
        <v>227</v>
      </c>
      <c r="F20" s="8">
        <v>20</v>
      </c>
      <c r="G20" s="8"/>
    </row>
    <row r="21" spans="1:7" ht="25.05" customHeight="1">
      <c r="A21" s="6">
        <v>18</v>
      </c>
      <c r="B21" s="7" t="s">
        <v>23</v>
      </c>
      <c r="C21" s="6" t="s">
        <v>27</v>
      </c>
      <c r="D21" s="3" t="s">
        <v>219</v>
      </c>
      <c r="E21" s="9" t="s">
        <v>228</v>
      </c>
      <c r="F21" s="9">
        <f>SUM(F15:F20)</f>
        <v>107</v>
      </c>
      <c r="G21" s="9"/>
    </row>
    <row r="22" spans="1:7" ht="25.05" customHeight="1">
      <c r="A22" s="6">
        <v>19</v>
      </c>
      <c r="B22" s="7" t="s">
        <v>23</v>
      </c>
      <c r="C22" s="6" t="s">
        <v>27</v>
      </c>
      <c r="D22" s="6" t="s">
        <v>229</v>
      </c>
      <c r="E22" s="8" t="s">
        <v>230</v>
      </c>
      <c r="F22" s="8">
        <v>14</v>
      </c>
      <c r="G22" s="8"/>
    </row>
    <row r="23" spans="1:7" ht="25.05" customHeight="1">
      <c r="A23" s="6">
        <v>20</v>
      </c>
      <c r="B23" s="7" t="s">
        <v>23</v>
      </c>
      <c r="C23" s="6" t="s">
        <v>27</v>
      </c>
      <c r="D23" s="6" t="s">
        <v>229</v>
      </c>
      <c r="E23" s="8" t="s">
        <v>231</v>
      </c>
      <c r="F23" s="8">
        <v>32</v>
      </c>
      <c r="G23" s="8"/>
    </row>
    <row r="24" spans="1:7" ht="25.05" customHeight="1">
      <c r="A24" s="6">
        <v>21</v>
      </c>
      <c r="B24" s="7" t="s">
        <v>23</v>
      </c>
      <c r="C24" s="6" t="s">
        <v>27</v>
      </c>
      <c r="D24" s="6" t="s">
        <v>229</v>
      </c>
      <c r="E24" s="8" t="s">
        <v>232</v>
      </c>
      <c r="F24" s="8">
        <v>18</v>
      </c>
      <c r="G24" s="8"/>
    </row>
    <row r="25" spans="1:7" ht="25.05" customHeight="1">
      <c r="A25" s="6">
        <v>22</v>
      </c>
      <c r="B25" s="7" t="s">
        <v>23</v>
      </c>
      <c r="C25" s="6" t="s">
        <v>27</v>
      </c>
      <c r="D25" s="6" t="s">
        <v>229</v>
      </c>
      <c r="E25" s="8" t="s">
        <v>315</v>
      </c>
      <c r="F25" s="8">
        <v>25</v>
      </c>
      <c r="G25" s="8"/>
    </row>
    <row r="26" spans="1:7" ht="25.05" customHeight="1">
      <c r="A26" s="6">
        <v>23</v>
      </c>
      <c r="B26" s="7" t="s">
        <v>23</v>
      </c>
      <c r="C26" s="6" t="s">
        <v>27</v>
      </c>
      <c r="D26" s="6" t="s">
        <v>229</v>
      </c>
      <c r="E26" s="8" t="s">
        <v>237</v>
      </c>
      <c r="F26" s="8">
        <v>8</v>
      </c>
      <c r="G26" s="8"/>
    </row>
    <row r="27" spans="1:7" ht="25.05" customHeight="1">
      <c r="A27" s="6">
        <v>24</v>
      </c>
      <c r="B27" s="7" t="s">
        <v>23</v>
      </c>
      <c r="C27" s="6" t="s">
        <v>27</v>
      </c>
      <c r="D27" s="3" t="s">
        <v>219</v>
      </c>
      <c r="E27" s="9" t="s">
        <v>238</v>
      </c>
      <c r="F27" s="9">
        <f>SUM(F22:F26)</f>
        <v>97</v>
      </c>
      <c r="G27" s="9"/>
    </row>
    <row r="28" spans="1:7" ht="25.05" customHeight="1">
      <c r="A28" s="6">
        <v>25</v>
      </c>
      <c r="B28" s="7" t="s">
        <v>23</v>
      </c>
      <c r="C28" s="6" t="s">
        <v>27</v>
      </c>
      <c r="D28" s="6" t="s">
        <v>239</v>
      </c>
      <c r="E28" s="8" t="s">
        <v>240</v>
      </c>
      <c r="F28" s="8">
        <v>70</v>
      </c>
      <c r="G28" s="8"/>
    </row>
    <row r="29" spans="1:7" ht="25.05" customHeight="1">
      <c r="A29" s="6">
        <v>26</v>
      </c>
      <c r="B29" s="7" t="s">
        <v>23</v>
      </c>
      <c r="C29" s="6" t="s">
        <v>27</v>
      </c>
      <c r="D29" s="6" t="s">
        <v>239</v>
      </c>
      <c r="E29" s="8" t="s">
        <v>241</v>
      </c>
      <c r="F29" s="8">
        <v>60</v>
      </c>
      <c r="G29" s="8"/>
    </row>
    <row r="30" spans="1:7" ht="25.05" customHeight="1">
      <c r="A30" s="6">
        <v>27</v>
      </c>
      <c r="B30" s="7" t="s">
        <v>23</v>
      </c>
      <c r="C30" s="6" t="s">
        <v>27</v>
      </c>
      <c r="D30" s="3" t="s">
        <v>219</v>
      </c>
      <c r="E30" s="9" t="s">
        <v>242</v>
      </c>
      <c r="F30" s="9">
        <f>SUM(F28:F29)</f>
        <v>130</v>
      </c>
      <c r="G30" s="9"/>
    </row>
    <row r="31" spans="1:7" ht="25.05" customHeight="1">
      <c r="A31" s="6">
        <v>28</v>
      </c>
      <c r="B31" s="7" t="s">
        <v>23</v>
      </c>
      <c r="C31" s="6" t="s">
        <v>27</v>
      </c>
      <c r="D31" s="6" t="s">
        <v>262</v>
      </c>
      <c r="E31" s="8" t="s">
        <v>263</v>
      </c>
      <c r="F31" s="8">
        <v>75</v>
      </c>
      <c r="G31" s="8"/>
    </row>
    <row r="32" spans="1:7" ht="25.05" customHeight="1">
      <c r="A32" s="6">
        <v>29</v>
      </c>
      <c r="B32" s="7" t="s">
        <v>23</v>
      </c>
      <c r="C32" s="6" t="s">
        <v>27</v>
      </c>
      <c r="D32" s="6" t="s">
        <v>262</v>
      </c>
      <c r="E32" s="8" t="s">
        <v>316</v>
      </c>
      <c r="F32" s="8">
        <v>40</v>
      </c>
      <c r="G32" s="8"/>
    </row>
    <row r="33" spans="1:7" ht="25.05" customHeight="1">
      <c r="A33" s="6">
        <v>30</v>
      </c>
      <c r="B33" s="7" t="s">
        <v>23</v>
      </c>
      <c r="C33" s="6" t="s">
        <v>27</v>
      </c>
      <c r="D33" s="6" t="s">
        <v>262</v>
      </c>
      <c r="E33" s="8" t="s">
        <v>265</v>
      </c>
      <c r="F33" s="8">
        <v>20</v>
      </c>
      <c r="G33" s="8"/>
    </row>
    <row r="34" spans="1:7" ht="25.05" customHeight="1">
      <c r="A34" s="6">
        <v>31</v>
      </c>
      <c r="B34" s="7" t="s">
        <v>23</v>
      </c>
      <c r="C34" s="6" t="s">
        <v>27</v>
      </c>
      <c r="D34" s="3" t="s">
        <v>219</v>
      </c>
      <c r="E34" s="9" t="s">
        <v>266</v>
      </c>
      <c r="F34" s="9">
        <f>SUM(F31:F33)</f>
        <v>135</v>
      </c>
      <c r="G34" s="9"/>
    </row>
    <row r="35" spans="1:7" ht="25.05" customHeight="1">
      <c r="A35" s="6">
        <v>32</v>
      </c>
      <c r="B35" s="7" t="s">
        <v>23</v>
      </c>
      <c r="C35" s="6" t="s">
        <v>27</v>
      </c>
      <c r="D35" s="6" t="s">
        <v>259</v>
      </c>
      <c r="E35" s="8" t="s">
        <v>317</v>
      </c>
      <c r="F35" s="8">
        <v>10</v>
      </c>
      <c r="G35" s="8"/>
    </row>
    <row r="36" spans="1:7" ht="25.05" customHeight="1">
      <c r="A36" s="6">
        <v>33</v>
      </c>
      <c r="B36" s="7" t="s">
        <v>23</v>
      </c>
      <c r="C36" s="6" t="s">
        <v>27</v>
      </c>
      <c r="D36" s="6" t="s">
        <v>259</v>
      </c>
      <c r="E36" s="8" t="s">
        <v>318</v>
      </c>
      <c r="F36" s="8">
        <v>5</v>
      </c>
      <c r="G36" s="8"/>
    </row>
    <row r="37" spans="1:7" ht="25.05" customHeight="1">
      <c r="A37" s="6">
        <v>34</v>
      </c>
      <c r="B37" s="7" t="s">
        <v>23</v>
      </c>
      <c r="C37" s="6" t="s">
        <v>27</v>
      </c>
      <c r="D37" s="3" t="s">
        <v>219</v>
      </c>
      <c r="E37" s="9" t="s">
        <v>261</v>
      </c>
      <c r="F37" s="9">
        <f>SUM(F35:F36)</f>
        <v>15</v>
      </c>
      <c r="G37" s="9"/>
    </row>
    <row r="38" spans="1:7" ht="25.05" customHeight="1">
      <c r="A38" s="6">
        <v>35</v>
      </c>
      <c r="B38" s="7" t="s">
        <v>23</v>
      </c>
      <c r="C38" s="6" t="s">
        <v>27</v>
      </c>
      <c r="D38" s="6" t="s">
        <v>243</v>
      </c>
      <c r="E38" s="8" t="s">
        <v>319</v>
      </c>
      <c r="F38" s="8">
        <v>6</v>
      </c>
      <c r="G38" s="8"/>
    </row>
    <row r="39" spans="1:7" ht="25.05" customHeight="1">
      <c r="A39" s="6">
        <v>36</v>
      </c>
      <c r="B39" s="7" t="s">
        <v>23</v>
      </c>
      <c r="C39" s="6" t="s">
        <v>27</v>
      </c>
      <c r="D39" s="6" t="s">
        <v>243</v>
      </c>
      <c r="E39" s="8" t="s">
        <v>320</v>
      </c>
      <c r="F39" s="8">
        <v>6</v>
      </c>
      <c r="G39" s="8"/>
    </row>
    <row r="40" spans="1:7" ht="25.05" customHeight="1">
      <c r="A40" s="6">
        <v>37</v>
      </c>
      <c r="B40" s="7" t="s">
        <v>23</v>
      </c>
      <c r="C40" s="6" t="s">
        <v>27</v>
      </c>
      <c r="D40" s="6" t="s">
        <v>243</v>
      </c>
      <c r="E40" s="8" t="s">
        <v>321</v>
      </c>
      <c r="F40" s="8">
        <v>10.56</v>
      </c>
      <c r="G40" s="8"/>
    </row>
    <row r="41" spans="1:7" ht="25.05" customHeight="1">
      <c r="A41" s="6">
        <v>38</v>
      </c>
      <c r="B41" s="7" t="s">
        <v>23</v>
      </c>
      <c r="C41" s="6" t="s">
        <v>27</v>
      </c>
      <c r="D41" s="6" t="s">
        <v>243</v>
      </c>
      <c r="E41" s="8" t="s">
        <v>247</v>
      </c>
      <c r="F41" s="8">
        <v>2</v>
      </c>
      <c r="G41" s="8"/>
    </row>
    <row r="42" spans="1:7" ht="25.05" customHeight="1">
      <c r="A42" s="6">
        <v>39</v>
      </c>
      <c r="B42" s="7" t="s">
        <v>23</v>
      </c>
      <c r="C42" s="6" t="s">
        <v>27</v>
      </c>
      <c r="D42" s="3" t="s">
        <v>219</v>
      </c>
      <c r="E42" s="9" t="s">
        <v>248</v>
      </c>
      <c r="F42" s="9">
        <f>SUM(F38:F41)</f>
        <v>24.56</v>
      </c>
      <c r="G42" s="9"/>
    </row>
    <row r="43" spans="1:7" ht="25.05" customHeight="1">
      <c r="A43" s="6">
        <v>40</v>
      </c>
      <c r="B43" s="7" t="s">
        <v>23</v>
      </c>
      <c r="C43" s="6" t="s">
        <v>27</v>
      </c>
      <c r="D43" s="6" t="s">
        <v>249</v>
      </c>
      <c r="E43" s="8" t="s">
        <v>304</v>
      </c>
      <c r="F43" s="8">
        <v>7</v>
      </c>
      <c r="G43" s="8"/>
    </row>
    <row r="44" spans="1:7" ht="25.05" customHeight="1">
      <c r="A44" s="6">
        <v>41</v>
      </c>
      <c r="B44" s="7" t="s">
        <v>23</v>
      </c>
      <c r="C44" s="6" t="s">
        <v>27</v>
      </c>
      <c r="D44" s="6" t="s">
        <v>249</v>
      </c>
      <c r="E44" s="8" t="s">
        <v>251</v>
      </c>
      <c r="F44" s="8">
        <v>7</v>
      </c>
      <c r="G44" s="8"/>
    </row>
    <row r="45" spans="1:7" ht="25.05" customHeight="1">
      <c r="A45" s="6">
        <v>42</v>
      </c>
      <c r="B45" s="7" t="s">
        <v>23</v>
      </c>
      <c r="C45" s="6" t="s">
        <v>27</v>
      </c>
      <c r="D45" s="6" t="s">
        <v>249</v>
      </c>
      <c r="E45" s="8" t="s">
        <v>252</v>
      </c>
      <c r="F45" s="8">
        <v>31.5</v>
      </c>
      <c r="G45" s="8"/>
    </row>
    <row r="46" spans="1:7" ht="25.05" customHeight="1">
      <c r="A46" s="6">
        <v>43</v>
      </c>
      <c r="B46" s="7" t="s">
        <v>23</v>
      </c>
      <c r="C46" s="6" t="s">
        <v>27</v>
      </c>
      <c r="D46" s="6" t="s">
        <v>249</v>
      </c>
      <c r="E46" s="8" t="s">
        <v>253</v>
      </c>
      <c r="F46" s="8">
        <v>7</v>
      </c>
      <c r="G46" s="8"/>
    </row>
    <row r="47" spans="1:7" ht="25.05" customHeight="1">
      <c r="A47" s="6">
        <v>44</v>
      </c>
      <c r="B47" s="7" t="s">
        <v>23</v>
      </c>
      <c r="C47" s="6" t="s">
        <v>27</v>
      </c>
      <c r="D47" s="6" t="s">
        <v>249</v>
      </c>
      <c r="E47" s="8" t="s">
        <v>322</v>
      </c>
      <c r="F47" s="8">
        <v>3</v>
      </c>
      <c r="G47" s="8"/>
    </row>
    <row r="48" spans="1:7" ht="25.05" customHeight="1">
      <c r="A48" s="6">
        <v>45</v>
      </c>
      <c r="B48" s="7" t="s">
        <v>23</v>
      </c>
      <c r="C48" s="6" t="s">
        <v>27</v>
      </c>
      <c r="D48" s="3" t="s">
        <v>219</v>
      </c>
      <c r="E48" s="9" t="s">
        <v>255</v>
      </c>
      <c r="F48" s="9">
        <f>SUM(F43:F47)</f>
        <v>55.5</v>
      </c>
      <c r="G48" s="9"/>
    </row>
    <row r="49" spans="1:7" ht="25.05" customHeight="1">
      <c r="A49" s="6">
        <v>50</v>
      </c>
      <c r="B49" s="7" t="s">
        <v>23</v>
      </c>
      <c r="C49" s="6" t="s">
        <v>27</v>
      </c>
      <c r="D49" s="3" t="s">
        <v>267</v>
      </c>
      <c r="E49" s="10" t="s">
        <v>323</v>
      </c>
      <c r="F49" s="10">
        <v>815</v>
      </c>
      <c r="G49" s="107"/>
    </row>
    <row r="50" spans="1:7" ht="25.05" customHeight="1">
      <c r="A50" s="220" t="s">
        <v>269</v>
      </c>
      <c r="B50" s="221"/>
      <c r="C50" s="221"/>
      <c r="D50" s="221"/>
      <c r="E50" s="221"/>
      <c r="F50" s="221"/>
      <c r="G50" s="222"/>
    </row>
  </sheetData>
  <autoFilter ref="A3:G50" xr:uid="{00000000-0009-0000-0000-000004000000}"/>
  <mergeCells count="3">
    <mergeCell ref="A1:G1"/>
    <mergeCell ref="A2:G2"/>
    <mergeCell ref="A50:G50"/>
  </mergeCells>
  <phoneticPr fontId="23" type="noConversion"/>
  <pageMargins left="0.59055118110236204" right="0.23622047244094499" top="0.35433070866141703" bottom="0.47244094488188998" header="0.35433070866141703" footer="0.27559055118110198"/>
  <pageSetup paperSize="9" orientation="portrait" r:id="rId1"/>
  <headerFooter>
    <oddFooter>&amp;C&amp;8第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51"/>
  <sheetViews>
    <sheetView view="pageBreakPreview" zoomScale="115" zoomScaleNormal="100" workbookViewId="0">
      <pane ySplit="3" topLeftCell="A4" activePane="bottomLeft" state="frozen"/>
      <selection pane="bottomLeft" activeCell="K51" sqref="K51"/>
    </sheetView>
  </sheetViews>
  <sheetFormatPr defaultColWidth="9" defaultRowHeight="19.05" customHeight="1"/>
  <cols>
    <col min="1" max="1" width="4.06640625" style="1" customWidth="1"/>
    <col min="2" max="2" width="9.33203125" style="2" customWidth="1"/>
    <col min="3" max="3" width="11.19921875" style="1" customWidth="1"/>
    <col min="4" max="4" width="11.06640625" style="1" customWidth="1"/>
    <col min="5" max="5" width="46.06640625" style="1" customWidth="1"/>
    <col min="6" max="6" width="6.53125" style="78" customWidth="1"/>
    <col min="7" max="7" width="9" style="1"/>
  </cols>
  <sheetData>
    <row r="1" spans="1:7" ht="25.05" customHeight="1">
      <c r="A1" s="215" t="s">
        <v>324</v>
      </c>
      <c r="B1" s="215"/>
      <c r="C1" s="215"/>
      <c r="D1" s="215"/>
      <c r="E1" s="215"/>
      <c r="F1" s="215"/>
      <c r="G1" s="215"/>
    </row>
    <row r="2" spans="1:7" ht="25.05" customHeight="1">
      <c r="A2" s="217" t="s">
        <v>325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8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326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326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326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326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326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326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326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326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23</v>
      </c>
      <c r="C12" s="6" t="s">
        <v>326</v>
      </c>
      <c r="D12" s="6" t="s">
        <v>209</v>
      </c>
      <c r="E12" s="8" t="s">
        <v>217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326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326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23</v>
      </c>
      <c r="C15" s="6" t="s">
        <v>326</v>
      </c>
      <c r="D15" s="6" t="s">
        <v>221</v>
      </c>
      <c r="E15" s="8" t="s">
        <v>222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326</v>
      </c>
      <c r="D16" s="6" t="s">
        <v>221</v>
      </c>
      <c r="E16" s="8" t="s">
        <v>327</v>
      </c>
      <c r="F16" s="25">
        <v>22</v>
      </c>
      <c r="G16" s="8"/>
    </row>
    <row r="17" spans="1:7" ht="25.05" customHeight="1">
      <c r="A17" s="6">
        <v>14</v>
      </c>
      <c r="B17" s="7" t="s">
        <v>23</v>
      </c>
      <c r="C17" s="6" t="s">
        <v>326</v>
      </c>
      <c r="D17" s="6" t="s">
        <v>221</v>
      </c>
      <c r="E17" s="8" t="s">
        <v>314</v>
      </c>
      <c r="F17" s="25">
        <v>9</v>
      </c>
      <c r="G17" s="8"/>
    </row>
    <row r="18" spans="1:7" ht="25.05" customHeight="1">
      <c r="A18" s="6">
        <v>15</v>
      </c>
      <c r="B18" s="7" t="s">
        <v>23</v>
      </c>
      <c r="C18" s="6" t="s">
        <v>326</v>
      </c>
      <c r="D18" s="6" t="s">
        <v>221</v>
      </c>
      <c r="E18" s="8" t="s">
        <v>225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326</v>
      </c>
      <c r="D19" s="6" t="s">
        <v>221</v>
      </c>
      <c r="E19" s="8" t="s">
        <v>226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326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326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ht="25.05" customHeight="1">
      <c r="A22" s="6">
        <v>19</v>
      </c>
      <c r="B22" s="7" t="s">
        <v>23</v>
      </c>
      <c r="C22" s="6" t="s">
        <v>326</v>
      </c>
      <c r="D22" s="6" t="s">
        <v>229</v>
      </c>
      <c r="E22" s="8" t="s">
        <v>230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326</v>
      </c>
      <c r="D23" s="6" t="s">
        <v>229</v>
      </c>
      <c r="E23" s="8" t="s">
        <v>328</v>
      </c>
      <c r="F23" s="25">
        <v>32</v>
      </c>
      <c r="G23" s="8"/>
    </row>
    <row r="24" spans="1:7" ht="25.05" customHeight="1">
      <c r="A24" s="6">
        <v>21</v>
      </c>
      <c r="B24" s="7" t="s">
        <v>23</v>
      </c>
      <c r="C24" s="6" t="s">
        <v>326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326</v>
      </c>
      <c r="D25" s="6" t="s">
        <v>229</v>
      </c>
      <c r="E25" s="8" t="s">
        <v>315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326</v>
      </c>
      <c r="D26" s="6" t="s">
        <v>229</v>
      </c>
      <c r="E26" s="8" t="s">
        <v>329</v>
      </c>
      <c r="F26" s="25">
        <v>18</v>
      </c>
      <c r="G26" s="8"/>
    </row>
    <row r="27" spans="1:7" ht="25.05" customHeight="1">
      <c r="A27" s="6">
        <v>24</v>
      </c>
      <c r="B27" s="7" t="s">
        <v>23</v>
      </c>
      <c r="C27" s="6" t="s">
        <v>326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326</v>
      </c>
      <c r="D28" s="6" t="s">
        <v>229</v>
      </c>
      <c r="E28" s="8" t="s">
        <v>330</v>
      </c>
      <c r="F28" s="25">
        <v>20</v>
      </c>
      <c r="G28" s="8"/>
    </row>
    <row r="29" spans="1:7" ht="25.05" customHeight="1">
      <c r="A29" s="6">
        <v>26</v>
      </c>
      <c r="B29" s="7" t="s">
        <v>23</v>
      </c>
      <c r="C29" s="6" t="s">
        <v>326</v>
      </c>
      <c r="D29" s="3" t="s">
        <v>219</v>
      </c>
      <c r="E29" s="9" t="s">
        <v>238</v>
      </c>
      <c r="F29" s="79">
        <f>SUM(F22:F28)</f>
        <v>135</v>
      </c>
      <c r="G29" s="9"/>
    </row>
    <row r="30" spans="1:7" ht="25.05" customHeight="1">
      <c r="A30" s="6">
        <v>27</v>
      </c>
      <c r="B30" s="7" t="s">
        <v>23</v>
      </c>
      <c r="C30" s="6" t="s">
        <v>326</v>
      </c>
      <c r="D30" s="6" t="s">
        <v>239</v>
      </c>
      <c r="E30" s="8" t="s">
        <v>240</v>
      </c>
      <c r="F30" s="25">
        <v>70</v>
      </c>
      <c r="G30" s="8"/>
    </row>
    <row r="31" spans="1:7" ht="25.05" customHeight="1">
      <c r="A31" s="6">
        <v>28</v>
      </c>
      <c r="B31" s="7" t="s">
        <v>23</v>
      </c>
      <c r="C31" s="6" t="s">
        <v>326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326</v>
      </c>
      <c r="D32" s="3" t="s">
        <v>219</v>
      </c>
      <c r="E32" s="9" t="s">
        <v>242</v>
      </c>
      <c r="F32" s="79">
        <f>SUM(F30:F31)</f>
        <v>130</v>
      </c>
      <c r="G32" s="9"/>
    </row>
    <row r="33" spans="1:7" ht="25.05" customHeight="1">
      <c r="A33" s="6">
        <v>30</v>
      </c>
      <c r="B33" s="7" t="s">
        <v>23</v>
      </c>
      <c r="C33" s="6" t="s">
        <v>326</v>
      </c>
      <c r="D33" s="6" t="s">
        <v>259</v>
      </c>
      <c r="E33" s="8" t="s">
        <v>331</v>
      </c>
      <c r="F33" s="25">
        <v>10</v>
      </c>
      <c r="G33" s="8"/>
    </row>
    <row r="34" spans="1:7" ht="25.05" customHeight="1">
      <c r="A34" s="6">
        <v>31</v>
      </c>
      <c r="B34" s="7" t="s">
        <v>23</v>
      </c>
      <c r="C34" s="6" t="s">
        <v>326</v>
      </c>
      <c r="D34" s="3" t="s">
        <v>219</v>
      </c>
      <c r="E34" s="9" t="s">
        <v>261</v>
      </c>
      <c r="F34" s="79">
        <f>SUM(F33)</f>
        <v>10</v>
      </c>
      <c r="G34" s="9"/>
    </row>
    <row r="35" spans="1:7" ht="25.05" customHeight="1">
      <c r="A35" s="6">
        <v>32</v>
      </c>
      <c r="B35" s="7" t="s">
        <v>23</v>
      </c>
      <c r="C35" s="6" t="s">
        <v>326</v>
      </c>
      <c r="D35" s="6" t="s">
        <v>243</v>
      </c>
      <c r="E35" s="8" t="s">
        <v>319</v>
      </c>
      <c r="F35" s="25">
        <v>6</v>
      </c>
      <c r="G35" s="8"/>
    </row>
    <row r="36" spans="1:7" ht="25.05" customHeight="1">
      <c r="A36" s="6">
        <v>33</v>
      </c>
      <c r="B36" s="7" t="s">
        <v>23</v>
      </c>
      <c r="C36" s="6" t="s">
        <v>326</v>
      </c>
      <c r="D36" s="6" t="s">
        <v>243</v>
      </c>
      <c r="E36" s="8" t="s">
        <v>320</v>
      </c>
      <c r="F36" s="25">
        <v>6</v>
      </c>
      <c r="G36" s="8"/>
    </row>
    <row r="37" spans="1:7" ht="25.05" customHeight="1">
      <c r="A37" s="6">
        <v>34</v>
      </c>
      <c r="B37" s="7" t="s">
        <v>23</v>
      </c>
      <c r="C37" s="6" t="s">
        <v>326</v>
      </c>
      <c r="D37" s="6" t="s">
        <v>243</v>
      </c>
      <c r="E37" s="8" t="s">
        <v>321</v>
      </c>
      <c r="F37" s="25">
        <v>10.56</v>
      </c>
      <c r="G37" s="8"/>
    </row>
    <row r="38" spans="1:7" ht="25.05" customHeight="1">
      <c r="A38" s="6">
        <v>35</v>
      </c>
      <c r="B38" s="7" t="s">
        <v>23</v>
      </c>
      <c r="C38" s="6" t="s">
        <v>326</v>
      </c>
      <c r="D38" s="6" t="s">
        <v>243</v>
      </c>
      <c r="E38" s="8" t="s">
        <v>247</v>
      </c>
      <c r="F38" s="25">
        <v>2</v>
      </c>
      <c r="G38" s="8"/>
    </row>
    <row r="39" spans="1:7" ht="25.05" customHeight="1">
      <c r="A39" s="6">
        <v>36</v>
      </c>
      <c r="B39" s="7" t="s">
        <v>23</v>
      </c>
      <c r="C39" s="6" t="s">
        <v>326</v>
      </c>
      <c r="D39" s="3" t="s">
        <v>219</v>
      </c>
      <c r="E39" s="9" t="s">
        <v>248</v>
      </c>
      <c r="F39" s="79">
        <f>SUM(F35:F38)</f>
        <v>24.56</v>
      </c>
      <c r="G39" s="9"/>
    </row>
    <row r="40" spans="1:7" ht="25.05" customHeight="1">
      <c r="A40" s="6">
        <v>37</v>
      </c>
      <c r="B40" s="7" t="s">
        <v>23</v>
      </c>
      <c r="C40" s="6" t="s">
        <v>326</v>
      </c>
      <c r="D40" s="6" t="s">
        <v>249</v>
      </c>
      <c r="E40" s="8" t="s">
        <v>332</v>
      </c>
      <c r="F40" s="25">
        <v>8</v>
      </c>
      <c r="G40" s="8"/>
    </row>
    <row r="41" spans="1:7" ht="25.05" customHeight="1">
      <c r="A41" s="6">
        <v>38</v>
      </c>
      <c r="B41" s="7" t="s">
        <v>23</v>
      </c>
      <c r="C41" s="6" t="s">
        <v>326</v>
      </c>
      <c r="D41" s="6" t="s">
        <v>249</v>
      </c>
      <c r="E41" s="8" t="s">
        <v>333</v>
      </c>
      <c r="F41" s="25">
        <v>8</v>
      </c>
      <c r="G41" s="8"/>
    </row>
    <row r="42" spans="1:7" ht="25.05" customHeight="1">
      <c r="A42" s="6">
        <v>39</v>
      </c>
      <c r="B42" s="7" t="s">
        <v>23</v>
      </c>
      <c r="C42" s="6" t="s">
        <v>326</v>
      </c>
      <c r="D42" s="6" t="s">
        <v>249</v>
      </c>
      <c r="E42" s="8" t="s">
        <v>334</v>
      </c>
      <c r="F42" s="25">
        <v>36</v>
      </c>
      <c r="G42" s="8"/>
    </row>
    <row r="43" spans="1:7" ht="25.05" customHeight="1">
      <c r="A43" s="6">
        <v>40</v>
      </c>
      <c r="B43" s="7" t="s">
        <v>23</v>
      </c>
      <c r="C43" s="6" t="s">
        <v>326</v>
      </c>
      <c r="D43" s="6" t="s">
        <v>249</v>
      </c>
      <c r="E43" s="8" t="s">
        <v>335</v>
      </c>
      <c r="F43" s="25">
        <v>8</v>
      </c>
      <c r="G43" s="8"/>
    </row>
    <row r="44" spans="1:7" ht="25.05" customHeight="1">
      <c r="A44" s="6">
        <v>41</v>
      </c>
      <c r="B44" s="7" t="s">
        <v>23</v>
      </c>
      <c r="C44" s="6" t="s">
        <v>326</v>
      </c>
      <c r="D44" s="6" t="s">
        <v>249</v>
      </c>
      <c r="E44" s="8" t="s">
        <v>336</v>
      </c>
      <c r="F44" s="25">
        <v>3</v>
      </c>
      <c r="G44" s="8"/>
    </row>
    <row r="45" spans="1:7" ht="25.05" customHeight="1">
      <c r="A45" s="6">
        <v>42</v>
      </c>
      <c r="B45" s="7" t="s">
        <v>23</v>
      </c>
      <c r="C45" s="6" t="s">
        <v>326</v>
      </c>
      <c r="D45" s="3" t="s">
        <v>219</v>
      </c>
      <c r="E45" s="9" t="s">
        <v>255</v>
      </c>
      <c r="F45" s="79">
        <f>SUM(F40:F44)</f>
        <v>63</v>
      </c>
      <c r="G45" s="9"/>
    </row>
    <row r="46" spans="1:7" ht="25.05" customHeight="1">
      <c r="A46" s="6">
        <v>43</v>
      </c>
      <c r="B46" s="7" t="s">
        <v>23</v>
      </c>
      <c r="C46" s="6" t="s">
        <v>326</v>
      </c>
      <c r="D46" s="6" t="s">
        <v>262</v>
      </c>
      <c r="E46" s="8" t="s">
        <v>263</v>
      </c>
      <c r="F46" s="25">
        <v>75</v>
      </c>
      <c r="G46" s="8"/>
    </row>
    <row r="47" spans="1:7" ht="25.05" customHeight="1">
      <c r="A47" s="6">
        <v>44</v>
      </c>
      <c r="B47" s="7" t="s">
        <v>23</v>
      </c>
      <c r="C47" s="6" t="s">
        <v>326</v>
      </c>
      <c r="D47" s="6" t="s">
        <v>262</v>
      </c>
      <c r="E47" s="8" t="s">
        <v>316</v>
      </c>
      <c r="F47" s="25">
        <v>40</v>
      </c>
      <c r="G47" s="8"/>
    </row>
    <row r="48" spans="1:7" ht="25.05" customHeight="1">
      <c r="A48" s="6">
        <v>45</v>
      </c>
      <c r="B48" s="7" t="s">
        <v>23</v>
      </c>
      <c r="C48" s="6" t="s">
        <v>326</v>
      </c>
      <c r="D48" s="6" t="s">
        <v>262</v>
      </c>
      <c r="E48" s="8" t="s">
        <v>265</v>
      </c>
      <c r="F48" s="25">
        <v>20</v>
      </c>
      <c r="G48" s="8"/>
    </row>
    <row r="49" spans="1:7" ht="25.05" customHeight="1">
      <c r="A49" s="6">
        <v>46</v>
      </c>
      <c r="B49" s="7" t="s">
        <v>23</v>
      </c>
      <c r="C49" s="6" t="s">
        <v>326</v>
      </c>
      <c r="D49" s="3" t="s">
        <v>219</v>
      </c>
      <c r="E49" s="9" t="s">
        <v>266</v>
      </c>
      <c r="F49" s="79">
        <f>SUM(F46:F48)</f>
        <v>135</v>
      </c>
      <c r="G49" s="9"/>
    </row>
    <row r="50" spans="1:7" ht="25.05" customHeight="1">
      <c r="A50" s="6">
        <v>47</v>
      </c>
      <c r="B50" s="7" t="s">
        <v>23</v>
      </c>
      <c r="C50" s="6" t="s">
        <v>326</v>
      </c>
      <c r="D50" s="3" t="s">
        <v>267</v>
      </c>
      <c r="E50" s="9" t="s">
        <v>337</v>
      </c>
      <c r="F50" s="79">
        <v>855</v>
      </c>
      <c r="G50" s="9"/>
    </row>
    <row r="51" spans="1:7" ht="25.05" customHeight="1">
      <c r="A51" s="220" t="s">
        <v>338</v>
      </c>
      <c r="B51" s="221"/>
      <c r="C51" s="221"/>
      <c r="D51" s="221"/>
      <c r="E51" s="221"/>
      <c r="F51" s="221"/>
      <c r="G51" s="222"/>
    </row>
  </sheetData>
  <autoFilter ref="A3:G51" xr:uid="{00000000-0009-0000-0000-000005000000}"/>
  <mergeCells count="3">
    <mergeCell ref="A1:G1"/>
    <mergeCell ref="A2:G2"/>
    <mergeCell ref="A51:G51"/>
  </mergeCells>
  <phoneticPr fontId="23" type="noConversion"/>
  <pageMargins left="0.59055118110236204" right="0.15748031496063" top="0.35433070866141703" bottom="0.511811023622047" header="0.35433070866141703" footer="0.27559055118110198"/>
  <pageSetup paperSize="9" orientation="portrait" r:id="rId1"/>
  <headerFooter>
    <oddFooter>&amp;C&amp;8第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55"/>
  <sheetViews>
    <sheetView view="pageBreakPreview" zoomScale="130" zoomScaleNormal="100" workbookViewId="0">
      <pane ySplit="3" topLeftCell="A4" activePane="bottomLeft" state="frozen"/>
      <selection pane="bottomLeft" activeCell="E58" sqref="E58"/>
    </sheetView>
  </sheetViews>
  <sheetFormatPr defaultColWidth="9" defaultRowHeight="15.75"/>
  <cols>
    <col min="1" max="1" width="3.9296875" style="1" customWidth="1"/>
    <col min="2" max="2" width="10" style="2" customWidth="1"/>
    <col min="3" max="3" width="10.796875" style="1" customWidth="1"/>
    <col min="4" max="4" width="10.53125" style="1" customWidth="1"/>
    <col min="5" max="5" width="46.19921875" style="1" customWidth="1"/>
    <col min="6" max="6" width="6.9296875" style="78" customWidth="1"/>
    <col min="7" max="7" width="8.59765625" style="1" customWidth="1"/>
  </cols>
  <sheetData>
    <row r="1" spans="1:7" ht="25.05" customHeight="1">
      <c r="A1" s="215" t="s">
        <v>339</v>
      </c>
      <c r="B1" s="215"/>
      <c r="C1" s="215"/>
      <c r="D1" s="215"/>
      <c r="E1" s="215"/>
      <c r="F1" s="215"/>
      <c r="G1" s="215"/>
    </row>
    <row r="2" spans="1:7" ht="25.05" customHeight="1">
      <c r="A2" s="217" t="s">
        <v>340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341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32</v>
      </c>
      <c r="C5" s="6" t="s">
        <v>341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32</v>
      </c>
      <c r="C6" s="6" t="s">
        <v>341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32</v>
      </c>
      <c r="C7" s="6" t="s">
        <v>341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32</v>
      </c>
      <c r="C8" s="6" t="s">
        <v>341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32</v>
      </c>
      <c r="C9" s="6" t="s">
        <v>341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32</v>
      </c>
      <c r="C10" s="6" t="s">
        <v>341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32</v>
      </c>
      <c r="C11" s="6" t="s">
        <v>341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32</v>
      </c>
      <c r="C12" s="6" t="s">
        <v>341</v>
      </c>
      <c r="D12" s="6" t="s">
        <v>209</v>
      </c>
      <c r="E12" s="8" t="s">
        <v>217</v>
      </c>
      <c r="F12" s="25">
        <v>55</v>
      </c>
      <c r="G12" s="8"/>
    </row>
    <row r="13" spans="1:7" ht="25.05" customHeight="1">
      <c r="A13" s="6">
        <v>10</v>
      </c>
      <c r="B13" s="7" t="s">
        <v>32</v>
      </c>
      <c r="C13" s="6" t="s">
        <v>341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32</v>
      </c>
      <c r="C14" s="6" t="s">
        <v>341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32</v>
      </c>
      <c r="C15" s="6" t="s">
        <v>341</v>
      </c>
      <c r="D15" s="6" t="s">
        <v>221</v>
      </c>
      <c r="E15" s="8" t="s">
        <v>222</v>
      </c>
      <c r="F15" s="25">
        <v>14</v>
      </c>
      <c r="G15" s="8"/>
    </row>
    <row r="16" spans="1:7" ht="25.05" customHeight="1">
      <c r="A16" s="6">
        <v>13</v>
      </c>
      <c r="B16" s="7" t="s">
        <v>32</v>
      </c>
      <c r="C16" s="6" t="s">
        <v>341</v>
      </c>
      <c r="D16" s="6" t="s">
        <v>221</v>
      </c>
      <c r="E16" s="8" t="s">
        <v>223</v>
      </c>
      <c r="F16" s="25">
        <v>22</v>
      </c>
      <c r="G16" s="8"/>
    </row>
    <row r="17" spans="1:7" ht="25.05" customHeight="1">
      <c r="A17" s="6">
        <v>14</v>
      </c>
      <c r="B17" s="7" t="s">
        <v>32</v>
      </c>
      <c r="C17" s="6" t="s">
        <v>341</v>
      </c>
      <c r="D17" s="6" t="s">
        <v>221</v>
      </c>
      <c r="E17" s="8" t="s">
        <v>224</v>
      </c>
      <c r="F17" s="25">
        <v>9</v>
      </c>
      <c r="G17" s="8"/>
    </row>
    <row r="18" spans="1:7" ht="25.05" customHeight="1">
      <c r="A18" s="6">
        <v>15</v>
      </c>
      <c r="B18" s="7" t="s">
        <v>32</v>
      </c>
      <c r="C18" s="6" t="s">
        <v>341</v>
      </c>
      <c r="D18" s="6" t="s">
        <v>221</v>
      </c>
      <c r="E18" s="8" t="s">
        <v>342</v>
      </c>
      <c r="F18" s="25">
        <v>20</v>
      </c>
      <c r="G18" s="8"/>
    </row>
    <row r="19" spans="1:7" ht="25.05" customHeight="1">
      <c r="A19" s="6">
        <v>16</v>
      </c>
      <c r="B19" s="7" t="s">
        <v>32</v>
      </c>
      <c r="C19" s="6" t="s">
        <v>341</v>
      </c>
      <c r="D19" s="6" t="s">
        <v>221</v>
      </c>
      <c r="E19" s="8" t="s">
        <v>343</v>
      </c>
      <c r="F19" s="25">
        <v>22</v>
      </c>
      <c r="G19" s="8"/>
    </row>
    <row r="20" spans="1:7" ht="25.05" customHeight="1">
      <c r="A20" s="6">
        <v>17</v>
      </c>
      <c r="B20" s="7" t="s">
        <v>32</v>
      </c>
      <c r="C20" s="6" t="s">
        <v>341</v>
      </c>
      <c r="D20" s="6" t="s">
        <v>221</v>
      </c>
      <c r="E20" s="8" t="s">
        <v>344</v>
      </c>
      <c r="F20" s="25">
        <v>20</v>
      </c>
      <c r="G20" s="8"/>
    </row>
    <row r="21" spans="1:7" ht="25.05" customHeight="1">
      <c r="A21" s="6">
        <v>18</v>
      </c>
      <c r="B21" s="7" t="s">
        <v>32</v>
      </c>
      <c r="C21" s="6" t="s">
        <v>341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ht="25.05" customHeight="1">
      <c r="A22" s="6">
        <v>19</v>
      </c>
      <c r="B22" s="7" t="s">
        <v>32</v>
      </c>
      <c r="C22" s="6" t="s">
        <v>341</v>
      </c>
      <c r="D22" s="6" t="s">
        <v>229</v>
      </c>
      <c r="E22" s="8" t="s">
        <v>230</v>
      </c>
      <c r="F22" s="25">
        <v>14</v>
      </c>
      <c r="G22" s="8"/>
    </row>
    <row r="23" spans="1:7" ht="25.05" customHeight="1">
      <c r="A23" s="6">
        <v>20</v>
      </c>
      <c r="B23" s="7" t="s">
        <v>32</v>
      </c>
      <c r="C23" s="6" t="s">
        <v>341</v>
      </c>
      <c r="D23" s="6" t="s">
        <v>229</v>
      </c>
      <c r="E23" s="8" t="s">
        <v>231</v>
      </c>
      <c r="F23" s="25">
        <v>32</v>
      </c>
      <c r="G23" s="8"/>
    </row>
    <row r="24" spans="1:7" ht="25.05" customHeight="1">
      <c r="A24" s="6">
        <v>21</v>
      </c>
      <c r="B24" s="7" t="s">
        <v>32</v>
      </c>
      <c r="C24" s="6" t="s">
        <v>341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32</v>
      </c>
      <c r="C25" s="6" t="s">
        <v>341</v>
      </c>
      <c r="D25" s="6" t="s">
        <v>229</v>
      </c>
      <c r="E25" s="8" t="s">
        <v>233</v>
      </c>
      <c r="F25" s="25">
        <v>25</v>
      </c>
      <c r="G25" s="8"/>
    </row>
    <row r="26" spans="1:7" ht="25.05" customHeight="1">
      <c r="A26" s="6">
        <v>23</v>
      </c>
      <c r="B26" s="7" t="s">
        <v>32</v>
      </c>
      <c r="C26" s="6" t="s">
        <v>341</v>
      </c>
      <c r="D26" s="6" t="s">
        <v>229</v>
      </c>
      <c r="E26" s="8" t="s">
        <v>345</v>
      </c>
      <c r="F26" s="25">
        <v>18</v>
      </c>
      <c r="G26" s="8"/>
    </row>
    <row r="27" spans="1:7" ht="25.05" customHeight="1">
      <c r="A27" s="6">
        <v>24</v>
      </c>
      <c r="B27" s="7" t="s">
        <v>32</v>
      </c>
      <c r="C27" s="6" t="s">
        <v>341</v>
      </c>
      <c r="D27" s="6" t="s">
        <v>229</v>
      </c>
      <c r="E27" s="8" t="s">
        <v>346</v>
      </c>
      <c r="F27" s="25">
        <v>20</v>
      </c>
      <c r="G27" s="8"/>
    </row>
    <row r="28" spans="1:7" ht="25.05" customHeight="1">
      <c r="A28" s="6">
        <v>25</v>
      </c>
      <c r="B28" s="7" t="s">
        <v>32</v>
      </c>
      <c r="C28" s="6" t="s">
        <v>341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32</v>
      </c>
      <c r="C29" s="6" t="s">
        <v>341</v>
      </c>
      <c r="D29" s="6" t="s">
        <v>229</v>
      </c>
      <c r="E29" s="8" t="s">
        <v>347</v>
      </c>
      <c r="F29" s="25">
        <v>19</v>
      </c>
      <c r="G29" s="104"/>
    </row>
    <row r="30" spans="1:7" ht="25.05" customHeight="1">
      <c r="A30" s="6">
        <v>27</v>
      </c>
      <c r="B30" s="7" t="s">
        <v>32</v>
      </c>
      <c r="C30" s="6" t="s">
        <v>341</v>
      </c>
      <c r="D30" s="6" t="s">
        <v>229</v>
      </c>
      <c r="E30" s="8" t="s">
        <v>237</v>
      </c>
      <c r="F30" s="25">
        <v>8</v>
      </c>
      <c r="G30" s="104"/>
    </row>
    <row r="31" spans="1:7" ht="25.05" customHeight="1">
      <c r="A31" s="6">
        <v>28</v>
      </c>
      <c r="B31" s="7" t="s">
        <v>32</v>
      </c>
      <c r="C31" s="6" t="s">
        <v>341</v>
      </c>
      <c r="D31" s="3" t="s">
        <v>219</v>
      </c>
      <c r="E31" s="9" t="s">
        <v>238</v>
      </c>
      <c r="F31" s="79">
        <f>SUM(F22:F30)</f>
        <v>164</v>
      </c>
      <c r="G31" s="10"/>
    </row>
    <row r="32" spans="1:7" ht="25.05" customHeight="1">
      <c r="A32" s="6">
        <v>29</v>
      </c>
      <c r="B32" s="7" t="s">
        <v>32</v>
      </c>
      <c r="C32" s="6" t="s">
        <v>341</v>
      </c>
      <c r="D32" s="6" t="s">
        <v>239</v>
      </c>
      <c r="E32" s="8" t="s">
        <v>240</v>
      </c>
      <c r="F32" s="25">
        <v>70</v>
      </c>
      <c r="G32" s="104"/>
    </row>
    <row r="33" spans="1:7" ht="25.05" customHeight="1">
      <c r="A33" s="6">
        <v>30</v>
      </c>
      <c r="B33" s="7" t="s">
        <v>32</v>
      </c>
      <c r="C33" s="6" t="s">
        <v>341</v>
      </c>
      <c r="D33" s="6" t="s">
        <v>239</v>
      </c>
      <c r="E33" s="8" t="s">
        <v>241</v>
      </c>
      <c r="F33" s="25">
        <v>60</v>
      </c>
      <c r="G33" s="8"/>
    </row>
    <row r="34" spans="1:7" ht="25.05" customHeight="1">
      <c r="A34" s="6">
        <v>31</v>
      </c>
      <c r="B34" s="7" t="s">
        <v>32</v>
      </c>
      <c r="C34" s="6" t="s">
        <v>341</v>
      </c>
      <c r="D34" s="3" t="s">
        <v>219</v>
      </c>
      <c r="E34" s="9" t="s">
        <v>242</v>
      </c>
      <c r="F34" s="79">
        <f>SUM(F32:F33)</f>
        <v>130</v>
      </c>
      <c r="G34" s="9"/>
    </row>
    <row r="35" spans="1:7" ht="25.05" customHeight="1">
      <c r="A35" s="6">
        <v>32</v>
      </c>
      <c r="B35" s="7" t="s">
        <v>32</v>
      </c>
      <c r="C35" s="6" t="s">
        <v>341</v>
      </c>
      <c r="D35" s="82" t="s">
        <v>259</v>
      </c>
      <c r="E35" s="11" t="s">
        <v>348</v>
      </c>
      <c r="F35" s="8">
        <v>10</v>
      </c>
      <c r="G35" s="8"/>
    </row>
    <row r="36" spans="1:7" ht="25.05" customHeight="1">
      <c r="A36" s="6">
        <v>33</v>
      </c>
      <c r="B36" s="7" t="s">
        <v>32</v>
      </c>
      <c r="C36" s="6" t="s">
        <v>341</v>
      </c>
      <c r="D36" s="3" t="s">
        <v>219</v>
      </c>
      <c r="E36" s="9" t="s">
        <v>261</v>
      </c>
      <c r="F36" s="79">
        <f>SUM(F35)</f>
        <v>10</v>
      </c>
      <c r="G36" s="9"/>
    </row>
    <row r="37" spans="1:7" ht="25.05" customHeight="1">
      <c r="A37" s="6">
        <v>34</v>
      </c>
      <c r="B37" s="7" t="s">
        <v>32</v>
      </c>
      <c r="C37" s="6" t="s">
        <v>341</v>
      </c>
      <c r="D37" s="6" t="s">
        <v>243</v>
      </c>
      <c r="E37" s="8" t="s">
        <v>349</v>
      </c>
      <c r="F37" s="25">
        <v>8.4</v>
      </c>
      <c r="G37" s="8"/>
    </row>
    <row r="38" spans="1:7" ht="25.05" customHeight="1">
      <c r="A38" s="6">
        <v>35</v>
      </c>
      <c r="B38" s="7" t="s">
        <v>32</v>
      </c>
      <c r="C38" s="6" t="s">
        <v>341</v>
      </c>
      <c r="D38" s="6" t="s">
        <v>243</v>
      </c>
      <c r="E38" s="8" t="s">
        <v>350</v>
      </c>
      <c r="F38" s="25">
        <v>8.4</v>
      </c>
      <c r="G38" s="8"/>
    </row>
    <row r="39" spans="1:7" ht="25.05" customHeight="1">
      <c r="A39" s="6">
        <v>36</v>
      </c>
      <c r="B39" s="7" t="s">
        <v>32</v>
      </c>
      <c r="C39" s="6" t="s">
        <v>341</v>
      </c>
      <c r="D39" s="6" t="s">
        <v>243</v>
      </c>
      <c r="E39" s="8" t="s">
        <v>351</v>
      </c>
      <c r="F39" s="25">
        <v>13.2</v>
      </c>
      <c r="G39" s="8"/>
    </row>
    <row r="40" spans="1:7" ht="25.05" customHeight="1">
      <c r="A40" s="6">
        <v>37</v>
      </c>
      <c r="B40" s="7" t="s">
        <v>32</v>
      </c>
      <c r="C40" s="6" t="s">
        <v>341</v>
      </c>
      <c r="D40" s="6" t="s">
        <v>243</v>
      </c>
      <c r="E40" s="8" t="s">
        <v>247</v>
      </c>
      <c r="F40" s="25">
        <v>2</v>
      </c>
      <c r="G40" s="8"/>
    </row>
    <row r="41" spans="1:7" ht="25.05" customHeight="1">
      <c r="A41" s="6">
        <v>38</v>
      </c>
      <c r="B41" s="7" t="s">
        <v>32</v>
      </c>
      <c r="C41" s="6" t="s">
        <v>341</v>
      </c>
      <c r="D41" s="3" t="s">
        <v>219</v>
      </c>
      <c r="E41" s="9" t="s">
        <v>248</v>
      </c>
      <c r="F41" s="79">
        <f>SUM(F37:F40)</f>
        <v>32</v>
      </c>
      <c r="G41" s="9"/>
    </row>
    <row r="42" spans="1:7" ht="25.05" customHeight="1">
      <c r="A42" s="6">
        <v>39</v>
      </c>
      <c r="B42" s="7" t="s">
        <v>32</v>
      </c>
      <c r="C42" s="6" t="s">
        <v>341</v>
      </c>
      <c r="D42" s="6" t="s">
        <v>249</v>
      </c>
      <c r="E42" s="8" t="s">
        <v>352</v>
      </c>
      <c r="F42" s="25">
        <v>13</v>
      </c>
      <c r="G42" s="8"/>
    </row>
    <row r="43" spans="1:7" ht="25.05" customHeight="1">
      <c r="A43" s="6">
        <v>40</v>
      </c>
      <c r="B43" s="7" t="s">
        <v>32</v>
      </c>
      <c r="C43" s="6" t="s">
        <v>341</v>
      </c>
      <c r="D43" s="6" t="s">
        <v>249</v>
      </c>
      <c r="E43" s="8" t="s">
        <v>353</v>
      </c>
      <c r="F43" s="25">
        <v>13</v>
      </c>
      <c r="G43" s="8"/>
    </row>
    <row r="44" spans="1:7" ht="25.05" customHeight="1">
      <c r="A44" s="6">
        <v>41</v>
      </c>
      <c r="B44" s="7" t="s">
        <v>32</v>
      </c>
      <c r="C44" s="6" t="s">
        <v>341</v>
      </c>
      <c r="D44" s="6" t="s">
        <v>249</v>
      </c>
      <c r="E44" s="8" t="s">
        <v>354</v>
      </c>
      <c r="F44" s="25">
        <v>52</v>
      </c>
      <c r="G44" s="8"/>
    </row>
    <row r="45" spans="1:7" ht="25.05" customHeight="1">
      <c r="A45" s="6">
        <v>42</v>
      </c>
      <c r="B45" s="7" t="s">
        <v>32</v>
      </c>
      <c r="C45" s="6" t="s">
        <v>341</v>
      </c>
      <c r="D45" s="6" t="s">
        <v>249</v>
      </c>
      <c r="E45" s="8" t="s">
        <v>355</v>
      </c>
      <c r="F45" s="25">
        <v>13</v>
      </c>
      <c r="G45" s="8"/>
    </row>
    <row r="46" spans="1:7" ht="25.05" customHeight="1">
      <c r="A46" s="6">
        <v>43</v>
      </c>
      <c r="B46" s="7" t="s">
        <v>32</v>
      </c>
      <c r="C46" s="6" t="s">
        <v>341</v>
      </c>
      <c r="D46" s="6" t="s">
        <v>249</v>
      </c>
      <c r="E46" s="8" t="s">
        <v>285</v>
      </c>
      <c r="F46" s="25">
        <v>5</v>
      </c>
      <c r="G46" s="8"/>
    </row>
    <row r="47" spans="1:7" ht="25.05" customHeight="1">
      <c r="A47" s="6">
        <v>44</v>
      </c>
      <c r="B47" s="7" t="s">
        <v>32</v>
      </c>
      <c r="C47" s="6" t="s">
        <v>341</v>
      </c>
      <c r="D47" s="3" t="s">
        <v>219</v>
      </c>
      <c r="E47" s="9" t="s">
        <v>255</v>
      </c>
      <c r="F47" s="79">
        <f>SUM(F42:F46)</f>
        <v>96</v>
      </c>
      <c r="G47" s="9"/>
    </row>
    <row r="48" spans="1:7" ht="25.05" customHeight="1">
      <c r="A48" s="6">
        <v>45</v>
      </c>
      <c r="B48" s="7" t="s">
        <v>32</v>
      </c>
      <c r="C48" s="6" t="s">
        <v>341</v>
      </c>
      <c r="D48" s="82" t="s">
        <v>256</v>
      </c>
      <c r="E48" s="11" t="s">
        <v>286</v>
      </c>
      <c r="F48" s="106">
        <v>10</v>
      </c>
      <c r="G48" s="8"/>
    </row>
    <row r="49" spans="1:7" ht="25.05" customHeight="1">
      <c r="A49" s="6">
        <v>46</v>
      </c>
      <c r="B49" s="7" t="s">
        <v>32</v>
      </c>
      <c r="C49" s="6" t="s">
        <v>341</v>
      </c>
      <c r="D49" s="3" t="s">
        <v>219</v>
      </c>
      <c r="E49" s="9" t="s">
        <v>258</v>
      </c>
      <c r="F49" s="79">
        <f>SUM(F48)</f>
        <v>10</v>
      </c>
      <c r="G49" s="9"/>
    </row>
    <row r="50" spans="1:7" ht="25.05" customHeight="1">
      <c r="A50" s="6">
        <v>47</v>
      </c>
      <c r="B50" s="7" t="s">
        <v>32</v>
      </c>
      <c r="C50" s="6" t="s">
        <v>341</v>
      </c>
      <c r="D50" s="6" t="s">
        <v>262</v>
      </c>
      <c r="E50" s="8" t="s">
        <v>263</v>
      </c>
      <c r="F50" s="25">
        <v>75</v>
      </c>
      <c r="G50" s="8"/>
    </row>
    <row r="51" spans="1:7" ht="25.05" customHeight="1">
      <c r="A51" s="6">
        <v>48</v>
      </c>
      <c r="B51" s="7" t="s">
        <v>32</v>
      </c>
      <c r="C51" s="6" t="s">
        <v>341</v>
      </c>
      <c r="D51" s="6" t="s">
        <v>262</v>
      </c>
      <c r="E51" s="8" t="s">
        <v>316</v>
      </c>
      <c r="F51" s="25">
        <v>40</v>
      </c>
      <c r="G51" s="8"/>
    </row>
    <row r="52" spans="1:7" ht="25.05" customHeight="1">
      <c r="A52" s="6">
        <v>49</v>
      </c>
      <c r="B52" s="7" t="s">
        <v>32</v>
      </c>
      <c r="C52" s="6" t="s">
        <v>341</v>
      </c>
      <c r="D52" s="6" t="s">
        <v>262</v>
      </c>
      <c r="E52" s="8" t="s">
        <v>265</v>
      </c>
      <c r="F52" s="25">
        <v>20</v>
      </c>
      <c r="G52" s="8"/>
    </row>
    <row r="53" spans="1:7" ht="25.05" customHeight="1">
      <c r="A53" s="6">
        <v>50</v>
      </c>
      <c r="B53" s="7" t="s">
        <v>32</v>
      </c>
      <c r="C53" s="6" t="s">
        <v>341</v>
      </c>
      <c r="D53" s="3" t="s">
        <v>219</v>
      </c>
      <c r="E53" s="9" t="s">
        <v>266</v>
      </c>
      <c r="F53" s="79">
        <f>SUM(F50:F52)</f>
        <v>135</v>
      </c>
      <c r="G53" s="9"/>
    </row>
    <row r="54" spans="1:7" ht="25.05" customHeight="1">
      <c r="A54" s="6">
        <v>51</v>
      </c>
      <c r="B54" s="7" t="s">
        <v>32</v>
      </c>
      <c r="C54" s="6" t="s">
        <v>341</v>
      </c>
      <c r="D54" s="3" t="s">
        <v>267</v>
      </c>
      <c r="E54" s="10" t="s">
        <v>356</v>
      </c>
      <c r="F54" s="10">
        <v>934</v>
      </c>
      <c r="G54" s="9"/>
    </row>
    <row r="55" spans="1:7" ht="25.05" customHeight="1">
      <c r="A55" s="220" t="s">
        <v>357</v>
      </c>
      <c r="B55" s="221"/>
      <c r="C55" s="221"/>
      <c r="D55" s="221"/>
      <c r="E55" s="221"/>
      <c r="F55" s="221"/>
      <c r="G55" s="222"/>
    </row>
  </sheetData>
  <autoFilter ref="A3:G55" xr:uid="{00000000-0009-0000-0000-000006000000}"/>
  <mergeCells count="3">
    <mergeCell ref="A1:G1"/>
    <mergeCell ref="A2:G2"/>
    <mergeCell ref="A55:G55"/>
  </mergeCells>
  <phoneticPr fontId="23" type="noConversion"/>
  <pageMargins left="0.59055118110236204" right="0.196850393700787" top="0.31496062992126" bottom="0.47244094488188998" header="0.31496062992126" footer="0.27559055118110198"/>
  <pageSetup paperSize="9" orientation="portrait" r:id="rId1"/>
  <headerFooter>
    <oddFooter>&amp;C&amp;8第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54"/>
  <sheetViews>
    <sheetView view="pageBreakPreview" zoomScale="115" zoomScaleNormal="130" workbookViewId="0">
      <pane ySplit="3" topLeftCell="A4" activePane="bottomLeft" state="frozen"/>
      <selection pane="bottomLeft" activeCell="E60" sqref="E60"/>
    </sheetView>
  </sheetViews>
  <sheetFormatPr defaultColWidth="9" defaultRowHeight="13.5"/>
  <cols>
    <col min="1" max="1" width="3.73046875" style="100" customWidth="1"/>
    <col min="2" max="2" width="8.06640625" style="101" customWidth="1"/>
    <col min="3" max="3" width="17.46484375" style="100" customWidth="1"/>
    <col min="4" max="4" width="10.73046875" style="100" customWidth="1"/>
    <col min="5" max="5" width="44.53125" style="100" customWidth="1"/>
    <col min="6" max="6" width="6.46484375" style="113" customWidth="1"/>
    <col min="7" max="7" width="6.73046875" style="100" customWidth="1"/>
  </cols>
  <sheetData>
    <row r="1" spans="1:7" s="120" customFormat="1" ht="25.05" customHeight="1">
      <c r="A1" s="215" t="s">
        <v>358</v>
      </c>
      <c r="B1" s="215"/>
      <c r="C1" s="215"/>
      <c r="D1" s="215"/>
      <c r="E1" s="215"/>
      <c r="F1" s="215"/>
      <c r="G1" s="215"/>
    </row>
    <row r="2" spans="1:7" s="120" customFormat="1" ht="25.05" customHeight="1">
      <c r="A2" s="228" t="s">
        <v>359</v>
      </c>
      <c r="B2" s="228"/>
      <c r="C2" s="228"/>
      <c r="D2" s="228"/>
      <c r="E2" s="228"/>
      <c r="F2" s="228"/>
      <c r="G2" s="228"/>
    </row>
    <row r="3" spans="1:7" s="120" customFormat="1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s="120" customFormat="1" ht="25.05" customHeight="1">
      <c r="A4" s="6">
        <v>1</v>
      </c>
      <c r="B4" s="7" t="s">
        <v>32</v>
      </c>
      <c r="C4" s="6" t="s">
        <v>360</v>
      </c>
      <c r="D4" s="6" t="s">
        <v>209</v>
      </c>
      <c r="E4" s="8" t="s">
        <v>210</v>
      </c>
      <c r="F4" s="25">
        <v>19</v>
      </c>
      <c r="G4" s="8"/>
    </row>
    <row r="5" spans="1:7" s="120" customFormat="1" ht="25.05" customHeight="1">
      <c r="A5" s="6">
        <v>2</v>
      </c>
      <c r="B5" s="7" t="s">
        <v>32</v>
      </c>
      <c r="C5" s="6" t="s">
        <v>360</v>
      </c>
      <c r="D5" s="6" t="s">
        <v>209</v>
      </c>
      <c r="E5" s="8" t="s">
        <v>211</v>
      </c>
      <c r="F5" s="25">
        <v>15</v>
      </c>
      <c r="G5" s="8"/>
    </row>
    <row r="6" spans="1:7" s="120" customFormat="1" ht="25.05" customHeight="1">
      <c r="A6" s="6">
        <v>3</v>
      </c>
      <c r="B6" s="7" t="s">
        <v>32</v>
      </c>
      <c r="C6" s="6" t="s">
        <v>360</v>
      </c>
      <c r="D6" s="6" t="s">
        <v>209</v>
      </c>
      <c r="E6" s="8" t="s">
        <v>212</v>
      </c>
      <c r="F6" s="25">
        <v>34</v>
      </c>
      <c r="G6" s="8"/>
    </row>
    <row r="7" spans="1:7" s="120" customFormat="1" ht="25.05" customHeight="1">
      <c r="A7" s="6">
        <v>4</v>
      </c>
      <c r="B7" s="7" t="s">
        <v>32</v>
      </c>
      <c r="C7" s="6" t="s">
        <v>360</v>
      </c>
      <c r="D7" s="6" t="s">
        <v>209</v>
      </c>
      <c r="E7" s="8" t="s">
        <v>272</v>
      </c>
      <c r="F7" s="25">
        <v>34</v>
      </c>
      <c r="G7" s="8"/>
    </row>
    <row r="8" spans="1:7" s="120" customFormat="1" ht="25.05" customHeight="1">
      <c r="A8" s="6">
        <v>5</v>
      </c>
      <c r="B8" s="7" t="s">
        <v>32</v>
      </c>
      <c r="C8" s="6" t="s">
        <v>360</v>
      </c>
      <c r="D8" s="6" t="s">
        <v>209</v>
      </c>
      <c r="E8" s="8" t="s">
        <v>214</v>
      </c>
      <c r="F8" s="25">
        <v>26</v>
      </c>
      <c r="G8" s="8"/>
    </row>
    <row r="9" spans="1:7" s="120" customFormat="1" ht="25.05" customHeight="1">
      <c r="A9" s="6">
        <v>6</v>
      </c>
      <c r="B9" s="7" t="s">
        <v>32</v>
      </c>
      <c r="C9" s="6" t="s">
        <v>360</v>
      </c>
      <c r="D9" s="6" t="s">
        <v>209</v>
      </c>
      <c r="E9" s="8" t="s">
        <v>312</v>
      </c>
      <c r="F9" s="25">
        <v>10</v>
      </c>
      <c r="G9" s="8"/>
    </row>
    <row r="10" spans="1:7" s="120" customFormat="1" ht="25.05" customHeight="1">
      <c r="A10" s="6">
        <v>7</v>
      </c>
      <c r="B10" s="7" t="s">
        <v>32</v>
      </c>
      <c r="C10" s="6" t="s">
        <v>360</v>
      </c>
      <c r="D10" s="6" t="s">
        <v>209</v>
      </c>
      <c r="E10" s="8" t="s">
        <v>216</v>
      </c>
      <c r="F10" s="25">
        <v>35</v>
      </c>
      <c r="G10" s="8"/>
    </row>
    <row r="11" spans="1:7" s="120" customFormat="1" ht="25.05" customHeight="1">
      <c r="A11" s="6">
        <v>8</v>
      </c>
      <c r="B11" s="7" t="s">
        <v>32</v>
      </c>
      <c r="C11" s="6" t="s">
        <v>360</v>
      </c>
      <c r="D11" s="6" t="s">
        <v>209</v>
      </c>
      <c r="E11" s="8" t="s">
        <v>292</v>
      </c>
      <c r="F11" s="25">
        <v>12</v>
      </c>
      <c r="G11" s="8"/>
    </row>
    <row r="12" spans="1:7" s="120" customFormat="1" ht="25.05" customHeight="1">
      <c r="A12" s="6">
        <v>9</v>
      </c>
      <c r="B12" s="7" t="s">
        <v>32</v>
      </c>
      <c r="C12" s="6" t="s">
        <v>360</v>
      </c>
      <c r="D12" s="6" t="s">
        <v>209</v>
      </c>
      <c r="E12" s="8" t="s">
        <v>217</v>
      </c>
      <c r="F12" s="25">
        <v>55</v>
      </c>
      <c r="G12" s="8"/>
    </row>
    <row r="13" spans="1:7" s="120" customFormat="1" ht="25.05" customHeight="1">
      <c r="A13" s="6">
        <v>10</v>
      </c>
      <c r="B13" s="7" t="s">
        <v>32</v>
      </c>
      <c r="C13" s="6" t="s">
        <v>360</v>
      </c>
      <c r="D13" s="6" t="s">
        <v>209</v>
      </c>
      <c r="E13" s="8" t="s">
        <v>218</v>
      </c>
      <c r="F13" s="25">
        <v>10</v>
      </c>
      <c r="G13" s="8"/>
    </row>
    <row r="14" spans="1:7" s="120" customFormat="1" ht="25.05" customHeight="1">
      <c r="A14" s="6">
        <v>11</v>
      </c>
      <c r="B14" s="7" t="s">
        <v>32</v>
      </c>
      <c r="C14" s="6" t="s">
        <v>360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s="120" customFormat="1" ht="25.05" customHeight="1">
      <c r="A15" s="6">
        <v>12</v>
      </c>
      <c r="B15" s="7" t="s">
        <v>32</v>
      </c>
      <c r="C15" s="6" t="s">
        <v>360</v>
      </c>
      <c r="D15" s="6" t="s">
        <v>221</v>
      </c>
      <c r="E15" s="8" t="s">
        <v>222</v>
      </c>
      <c r="F15" s="25">
        <v>14</v>
      </c>
      <c r="G15" s="8"/>
    </row>
    <row r="16" spans="1:7" s="120" customFormat="1" ht="25.05" customHeight="1">
      <c r="A16" s="6">
        <v>13</v>
      </c>
      <c r="B16" s="7" t="s">
        <v>32</v>
      </c>
      <c r="C16" s="6" t="s">
        <v>360</v>
      </c>
      <c r="D16" s="6" t="s">
        <v>221</v>
      </c>
      <c r="E16" s="8" t="s">
        <v>273</v>
      </c>
      <c r="F16" s="25">
        <v>22</v>
      </c>
      <c r="G16" s="8"/>
    </row>
    <row r="17" spans="1:7" s="120" customFormat="1" ht="25.05" customHeight="1">
      <c r="A17" s="6">
        <v>14</v>
      </c>
      <c r="B17" s="7" t="s">
        <v>32</v>
      </c>
      <c r="C17" s="6" t="s">
        <v>360</v>
      </c>
      <c r="D17" s="6" t="s">
        <v>221</v>
      </c>
      <c r="E17" s="8" t="s">
        <v>224</v>
      </c>
      <c r="F17" s="25">
        <v>9</v>
      </c>
      <c r="G17" s="8"/>
    </row>
    <row r="18" spans="1:7" s="120" customFormat="1" ht="25.05" customHeight="1">
      <c r="A18" s="6">
        <v>15</v>
      </c>
      <c r="B18" s="7" t="s">
        <v>32</v>
      </c>
      <c r="C18" s="6" t="s">
        <v>360</v>
      </c>
      <c r="D18" s="6" t="s">
        <v>221</v>
      </c>
      <c r="E18" s="8" t="s">
        <v>361</v>
      </c>
      <c r="F18" s="25">
        <v>20</v>
      </c>
      <c r="G18" s="8"/>
    </row>
    <row r="19" spans="1:7" s="120" customFormat="1" ht="25.05" customHeight="1">
      <c r="A19" s="6">
        <v>16</v>
      </c>
      <c r="B19" s="7" t="s">
        <v>32</v>
      </c>
      <c r="C19" s="6" t="s">
        <v>360</v>
      </c>
      <c r="D19" s="6" t="s">
        <v>221</v>
      </c>
      <c r="E19" s="8" t="s">
        <v>343</v>
      </c>
      <c r="F19" s="25">
        <v>22</v>
      </c>
      <c r="G19" s="8"/>
    </row>
    <row r="20" spans="1:7" s="120" customFormat="1" ht="25.05" customHeight="1">
      <c r="A20" s="6">
        <v>17</v>
      </c>
      <c r="B20" s="7" t="s">
        <v>32</v>
      </c>
      <c r="C20" s="6" t="s">
        <v>360</v>
      </c>
      <c r="D20" s="6" t="s">
        <v>221</v>
      </c>
      <c r="E20" s="8" t="s">
        <v>362</v>
      </c>
      <c r="F20" s="25">
        <v>20</v>
      </c>
      <c r="G20" s="8"/>
    </row>
    <row r="21" spans="1:7" s="120" customFormat="1" ht="25.05" customHeight="1">
      <c r="A21" s="6">
        <v>18</v>
      </c>
      <c r="B21" s="7" t="s">
        <v>32</v>
      </c>
      <c r="C21" s="6" t="s">
        <v>360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s="120" customFormat="1" ht="25.05" customHeight="1">
      <c r="A22" s="6">
        <v>19</v>
      </c>
      <c r="B22" s="7" t="s">
        <v>32</v>
      </c>
      <c r="C22" s="6" t="s">
        <v>360</v>
      </c>
      <c r="D22" s="6" t="s">
        <v>229</v>
      </c>
      <c r="E22" s="8" t="s">
        <v>230</v>
      </c>
      <c r="F22" s="25">
        <v>14</v>
      </c>
      <c r="G22" s="8"/>
    </row>
    <row r="23" spans="1:7" s="120" customFormat="1" ht="25.05" customHeight="1">
      <c r="A23" s="6">
        <v>20</v>
      </c>
      <c r="B23" s="7" t="s">
        <v>32</v>
      </c>
      <c r="C23" s="6" t="s">
        <v>360</v>
      </c>
      <c r="D23" s="6" t="s">
        <v>229</v>
      </c>
      <c r="E23" s="8" t="s">
        <v>231</v>
      </c>
      <c r="F23" s="25">
        <v>32</v>
      </c>
      <c r="G23" s="8"/>
    </row>
    <row r="24" spans="1:7" s="120" customFormat="1" ht="25.05" customHeight="1">
      <c r="A24" s="6">
        <v>21</v>
      </c>
      <c r="B24" s="7" t="s">
        <v>32</v>
      </c>
      <c r="C24" s="6" t="s">
        <v>360</v>
      </c>
      <c r="D24" s="6" t="s">
        <v>229</v>
      </c>
      <c r="E24" s="8" t="s">
        <v>232</v>
      </c>
      <c r="F24" s="25">
        <v>18</v>
      </c>
      <c r="G24" s="8"/>
    </row>
    <row r="25" spans="1:7" s="120" customFormat="1" ht="25.05" customHeight="1">
      <c r="A25" s="6">
        <v>22</v>
      </c>
      <c r="B25" s="7" t="s">
        <v>32</v>
      </c>
      <c r="C25" s="6" t="s">
        <v>360</v>
      </c>
      <c r="D25" s="6" t="s">
        <v>229</v>
      </c>
      <c r="E25" s="8" t="s">
        <v>233</v>
      </c>
      <c r="F25" s="25">
        <v>25</v>
      </c>
      <c r="G25" s="8"/>
    </row>
    <row r="26" spans="1:7" s="120" customFormat="1" ht="25.05" customHeight="1">
      <c r="A26" s="6">
        <v>23</v>
      </c>
      <c r="B26" s="7" t="s">
        <v>32</v>
      </c>
      <c r="C26" s="6" t="s">
        <v>360</v>
      </c>
      <c r="D26" s="6" t="s">
        <v>229</v>
      </c>
      <c r="E26" s="8" t="s">
        <v>346</v>
      </c>
      <c r="F26" s="25">
        <v>20</v>
      </c>
      <c r="G26" s="8"/>
    </row>
    <row r="27" spans="1:7" s="120" customFormat="1" ht="25.05" customHeight="1">
      <c r="A27" s="6">
        <v>24</v>
      </c>
      <c r="B27" s="7" t="s">
        <v>32</v>
      </c>
      <c r="C27" s="6" t="s">
        <v>360</v>
      </c>
      <c r="D27" s="6" t="s">
        <v>229</v>
      </c>
      <c r="E27" s="8" t="s">
        <v>235</v>
      </c>
      <c r="F27" s="25">
        <v>10</v>
      </c>
      <c r="G27" s="8"/>
    </row>
    <row r="28" spans="1:7" s="120" customFormat="1" ht="25.05" customHeight="1">
      <c r="A28" s="6">
        <v>25</v>
      </c>
      <c r="B28" s="7" t="s">
        <v>32</v>
      </c>
      <c r="C28" s="6" t="s">
        <v>360</v>
      </c>
      <c r="D28" s="6" t="s">
        <v>229</v>
      </c>
      <c r="E28" s="8" t="s">
        <v>347</v>
      </c>
      <c r="F28" s="25">
        <v>19</v>
      </c>
      <c r="G28" s="8"/>
    </row>
    <row r="29" spans="1:7" s="120" customFormat="1" ht="25.05" customHeight="1">
      <c r="A29" s="6">
        <v>26</v>
      </c>
      <c r="B29" s="7" t="s">
        <v>32</v>
      </c>
      <c r="C29" s="6" t="s">
        <v>360</v>
      </c>
      <c r="D29" s="6" t="s">
        <v>229</v>
      </c>
      <c r="E29" s="8" t="s">
        <v>237</v>
      </c>
      <c r="F29" s="25">
        <v>8</v>
      </c>
      <c r="G29" s="8"/>
    </row>
    <row r="30" spans="1:7" s="120" customFormat="1" ht="25.05" customHeight="1">
      <c r="A30" s="6">
        <v>27</v>
      </c>
      <c r="B30" s="7" t="s">
        <v>32</v>
      </c>
      <c r="C30" s="6" t="s">
        <v>360</v>
      </c>
      <c r="D30" s="3" t="s">
        <v>219</v>
      </c>
      <c r="E30" s="9" t="s">
        <v>238</v>
      </c>
      <c r="F30" s="79">
        <f>SUM(F22:F29)</f>
        <v>146</v>
      </c>
      <c r="G30" s="9"/>
    </row>
    <row r="31" spans="1:7" s="120" customFormat="1" ht="25.05" customHeight="1">
      <c r="A31" s="6">
        <v>28</v>
      </c>
      <c r="B31" s="7" t="s">
        <v>32</v>
      </c>
      <c r="C31" s="6" t="s">
        <v>360</v>
      </c>
      <c r="D31" s="6" t="s">
        <v>239</v>
      </c>
      <c r="E31" s="8" t="s">
        <v>240</v>
      </c>
      <c r="F31" s="25">
        <v>70</v>
      </c>
      <c r="G31" s="8"/>
    </row>
    <row r="32" spans="1:7" s="120" customFormat="1" ht="25.05" customHeight="1">
      <c r="A32" s="6">
        <v>29</v>
      </c>
      <c r="B32" s="7" t="s">
        <v>32</v>
      </c>
      <c r="C32" s="6" t="s">
        <v>360</v>
      </c>
      <c r="D32" s="6" t="s">
        <v>239</v>
      </c>
      <c r="E32" s="8" t="s">
        <v>241</v>
      </c>
      <c r="F32" s="25">
        <v>60</v>
      </c>
      <c r="G32" s="8"/>
    </row>
    <row r="33" spans="1:7" s="120" customFormat="1" ht="25.05" customHeight="1">
      <c r="A33" s="6">
        <v>30</v>
      </c>
      <c r="B33" s="7" t="s">
        <v>32</v>
      </c>
      <c r="C33" s="6" t="s">
        <v>360</v>
      </c>
      <c r="D33" s="3" t="s">
        <v>219</v>
      </c>
      <c r="E33" s="9" t="s">
        <v>242</v>
      </c>
      <c r="F33" s="79">
        <f>SUM(F31:F32)</f>
        <v>130</v>
      </c>
      <c r="G33" s="9"/>
    </row>
    <row r="34" spans="1:7" s="120" customFormat="1" ht="25.05" customHeight="1">
      <c r="A34" s="6">
        <v>31</v>
      </c>
      <c r="B34" s="7" t="s">
        <v>32</v>
      </c>
      <c r="C34" s="6" t="s">
        <v>360</v>
      </c>
      <c r="D34" s="82" t="s">
        <v>259</v>
      </c>
      <c r="E34" s="11" t="s">
        <v>348</v>
      </c>
      <c r="F34" s="83">
        <v>10</v>
      </c>
      <c r="G34" s="8"/>
    </row>
    <row r="35" spans="1:7" s="120" customFormat="1" ht="25.05" customHeight="1">
      <c r="A35" s="6">
        <v>32</v>
      </c>
      <c r="B35" s="7" t="s">
        <v>32</v>
      </c>
      <c r="C35" s="6" t="s">
        <v>360</v>
      </c>
      <c r="D35" s="3" t="s">
        <v>219</v>
      </c>
      <c r="E35" s="9" t="s">
        <v>261</v>
      </c>
      <c r="F35" s="79">
        <f>SUM(F34)</f>
        <v>10</v>
      </c>
      <c r="G35" s="9"/>
    </row>
    <row r="36" spans="1:7" s="120" customFormat="1" ht="25.05" customHeight="1">
      <c r="A36" s="6">
        <v>33</v>
      </c>
      <c r="B36" s="7" t="s">
        <v>32</v>
      </c>
      <c r="C36" s="6" t="s">
        <v>360</v>
      </c>
      <c r="D36" s="6" t="s">
        <v>243</v>
      </c>
      <c r="E36" s="8" t="s">
        <v>363</v>
      </c>
      <c r="F36" s="25">
        <v>7.8</v>
      </c>
      <c r="G36" s="8"/>
    </row>
    <row r="37" spans="1:7" s="120" customFormat="1" ht="25.05" customHeight="1">
      <c r="A37" s="6">
        <v>34</v>
      </c>
      <c r="B37" s="7" t="s">
        <v>32</v>
      </c>
      <c r="C37" s="6" t="s">
        <v>360</v>
      </c>
      <c r="D37" s="6" t="s">
        <v>243</v>
      </c>
      <c r="E37" s="8" t="s">
        <v>364</v>
      </c>
      <c r="F37" s="25">
        <v>7.8</v>
      </c>
      <c r="G37" s="8"/>
    </row>
    <row r="38" spans="1:7" s="120" customFormat="1" ht="25.05" customHeight="1">
      <c r="A38" s="6">
        <v>35</v>
      </c>
      <c r="B38" s="7" t="s">
        <v>32</v>
      </c>
      <c r="C38" s="6" t="s">
        <v>360</v>
      </c>
      <c r="D38" s="6" t="s">
        <v>243</v>
      </c>
      <c r="E38" s="8" t="s">
        <v>365</v>
      </c>
      <c r="F38" s="25">
        <v>11.88</v>
      </c>
      <c r="G38" s="8"/>
    </row>
    <row r="39" spans="1:7" s="120" customFormat="1" ht="25.05" customHeight="1">
      <c r="A39" s="6">
        <v>36</v>
      </c>
      <c r="B39" s="7" t="s">
        <v>32</v>
      </c>
      <c r="C39" s="6" t="s">
        <v>360</v>
      </c>
      <c r="D39" s="6" t="s">
        <v>243</v>
      </c>
      <c r="E39" s="8" t="s">
        <v>247</v>
      </c>
      <c r="F39" s="25">
        <v>2</v>
      </c>
      <c r="G39" s="8"/>
    </row>
    <row r="40" spans="1:7" s="120" customFormat="1" ht="25.05" customHeight="1">
      <c r="A40" s="6">
        <v>37</v>
      </c>
      <c r="B40" s="7" t="s">
        <v>32</v>
      </c>
      <c r="C40" s="6" t="s">
        <v>360</v>
      </c>
      <c r="D40" s="3" t="s">
        <v>219</v>
      </c>
      <c r="E40" s="9" t="s">
        <v>248</v>
      </c>
      <c r="F40" s="79">
        <f>SUM(F36:F39)</f>
        <v>29.48</v>
      </c>
      <c r="G40" s="9"/>
    </row>
    <row r="41" spans="1:7" s="120" customFormat="1" ht="25.05" customHeight="1">
      <c r="A41" s="6">
        <v>38</v>
      </c>
      <c r="B41" s="7" t="s">
        <v>32</v>
      </c>
      <c r="C41" s="6" t="s">
        <v>360</v>
      </c>
      <c r="D41" s="6" t="s">
        <v>249</v>
      </c>
      <c r="E41" s="8" t="s">
        <v>366</v>
      </c>
      <c r="F41" s="25">
        <v>10</v>
      </c>
      <c r="G41" s="8"/>
    </row>
    <row r="42" spans="1:7" s="120" customFormat="1" ht="25.05" customHeight="1">
      <c r="A42" s="6">
        <v>39</v>
      </c>
      <c r="B42" s="7" t="s">
        <v>32</v>
      </c>
      <c r="C42" s="6" t="s">
        <v>360</v>
      </c>
      <c r="D42" s="6" t="s">
        <v>249</v>
      </c>
      <c r="E42" s="8" t="s">
        <v>367</v>
      </c>
      <c r="F42" s="25">
        <v>10</v>
      </c>
      <c r="G42" s="8"/>
    </row>
    <row r="43" spans="1:7" s="120" customFormat="1" ht="25.05" customHeight="1">
      <c r="A43" s="6">
        <v>40</v>
      </c>
      <c r="B43" s="7" t="s">
        <v>32</v>
      </c>
      <c r="C43" s="6" t="s">
        <v>360</v>
      </c>
      <c r="D43" s="6" t="s">
        <v>249</v>
      </c>
      <c r="E43" s="8" t="s">
        <v>368</v>
      </c>
      <c r="F43" s="25">
        <v>45</v>
      </c>
      <c r="G43" s="8"/>
    </row>
    <row r="44" spans="1:7" s="120" customFormat="1" ht="25.05" customHeight="1">
      <c r="A44" s="6">
        <v>41</v>
      </c>
      <c r="B44" s="7" t="s">
        <v>32</v>
      </c>
      <c r="C44" s="6" t="s">
        <v>360</v>
      </c>
      <c r="D44" s="6" t="s">
        <v>249</v>
      </c>
      <c r="E44" s="8" t="s">
        <v>369</v>
      </c>
      <c r="F44" s="25">
        <v>10</v>
      </c>
      <c r="G44" s="8"/>
    </row>
    <row r="45" spans="1:7" s="120" customFormat="1" ht="25.05" customHeight="1">
      <c r="A45" s="6">
        <v>42</v>
      </c>
      <c r="B45" s="7" t="s">
        <v>32</v>
      </c>
      <c r="C45" s="6" t="s">
        <v>360</v>
      </c>
      <c r="D45" s="6" t="s">
        <v>249</v>
      </c>
      <c r="E45" s="8" t="s">
        <v>285</v>
      </c>
      <c r="F45" s="25">
        <v>5</v>
      </c>
      <c r="G45" s="8"/>
    </row>
    <row r="46" spans="1:7" s="120" customFormat="1" ht="25.05" customHeight="1">
      <c r="A46" s="6">
        <v>43</v>
      </c>
      <c r="B46" s="7" t="s">
        <v>32</v>
      </c>
      <c r="C46" s="6" t="s">
        <v>360</v>
      </c>
      <c r="D46" s="3" t="s">
        <v>219</v>
      </c>
      <c r="E46" s="9" t="s">
        <v>255</v>
      </c>
      <c r="F46" s="79">
        <f>SUM(F41:F45)</f>
        <v>80</v>
      </c>
      <c r="G46" s="9"/>
    </row>
    <row r="47" spans="1:7" s="120" customFormat="1" ht="25.05" customHeight="1">
      <c r="A47" s="6">
        <v>44</v>
      </c>
      <c r="B47" s="7" t="s">
        <v>32</v>
      </c>
      <c r="C47" s="6" t="s">
        <v>360</v>
      </c>
      <c r="D47" s="82" t="s">
        <v>256</v>
      </c>
      <c r="E47" s="11" t="s">
        <v>286</v>
      </c>
      <c r="F47" s="106">
        <v>10</v>
      </c>
      <c r="G47" s="8"/>
    </row>
    <row r="48" spans="1:7" s="120" customFormat="1" ht="25.05" customHeight="1">
      <c r="A48" s="6">
        <v>45</v>
      </c>
      <c r="B48" s="7" t="s">
        <v>32</v>
      </c>
      <c r="C48" s="6" t="s">
        <v>360</v>
      </c>
      <c r="D48" s="3" t="s">
        <v>219</v>
      </c>
      <c r="E48" s="9" t="s">
        <v>258</v>
      </c>
      <c r="F48" s="79">
        <f>SUM(F47)</f>
        <v>10</v>
      </c>
      <c r="G48" s="9"/>
    </row>
    <row r="49" spans="1:7" s="120" customFormat="1" ht="25.05" customHeight="1">
      <c r="A49" s="6">
        <v>46</v>
      </c>
      <c r="B49" s="7" t="s">
        <v>32</v>
      </c>
      <c r="C49" s="6" t="s">
        <v>360</v>
      </c>
      <c r="D49" s="6" t="s">
        <v>262</v>
      </c>
      <c r="E49" s="8" t="s">
        <v>263</v>
      </c>
      <c r="F49" s="25">
        <v>75</v>
      </c>
      <c r="G49" s="8"/>
    </row>
    <row r="50" spans="1:7" s="120" customFormat="1" ht="25.05" customHeight="1">
      <c r="A50" s="6">
        <v>47</v>
      </c>
      <c r="B50" s="7" t="s">
        <v>32</v>
      </c>
      <c r="C50" s="6" t="s">
        <v>360</v>
      </c>
      <c r="D50" s="6" t="s">
        <v>262</v>
      </c>
      <c r="E50" s="8" t="s">
        <v>316</v>
      </c>
      <c r="F50" s="25">
        <v>40</v>
      </c>
      <c r="G50" s="8"/>
    </row>
    <row r="51" spans="1:7" s="120" customFormat="1" ht="25.05" customHeight="1">
      <c r="A51" s="6">
        <v>48</v>
      </c>
      <c r="B51" s="7" t="s">
        <v>32</v>
      </c>
      <c r="C51" s="6" t="s">
        <v>360</v>
      </c>
      <c r="D51" s="6" t="s">
        <v>262</v>
      </c>
      <c r="E51" s="8" t="s">
        <v>265</v>
      </c>
      <c r="F51" s="25">
        <v>20</v>
      </c>
      <c r="G51" s="8"/>
    </row>
    <row r="52" spans="1:7" s="120" customFormat="1" ht="25.05" customHeight="1">
      <c r="A52" s="6">
        <v>49</v>
      </c>
      <c r="B52" s="7" t="s">
        <v>32</v>
      </c>
      <c r="C52" s="6" t="s">
        <v>360</v>
      </c>
      <c r="D52" s="3" t="s">
        <v>219</v>
      </c>
      <c r="E52" s="9" t="s">
        <v>266</v>
      </c>
      <c r="F52" s="79">
        <f>SUM(F49:F51)</f>
        <v>135</v>
      </c>
      <c r="G52" s="9"/>
    </row>
    <row r="53" spans="1:7" s="120" customFormat="1" ht="25.05" customHeight="1">
      <c r="A53" s="6">
        <v>50</v>
      </c>
      <c r="B53" s="7" t="s">
        <v>32</v>
      </c>
      <c r="C53" s="6" t="s">
        <v>360</v>
      </c>
      <c r="D53" s="3" t="s">
        <v>267</v>
      </c>
      <c r="E53" s="10" t="s">
        <v>370</v>
      </c>
      <c r="F53" s="85">
        <v>898</v>
      </c>
      <c r="G53" s="9"/>
    </row>
    <row r="54" spans="1:7" s="120" customFormat="1" ht="25.05" customHeight="1">
      <c r="A54" s="219" t="s">
        <v>371</v>
      </c>
      <c r="B54" s="219"/>
      <c r="C54" s="219"/>
      <c r="D54" s="219"/>
      <c r="E54" s="219"/>
      <c r="F54" s="219"/>
      <c r="G54" s="219"/>
    </row>
  </sheetData>
  <autoFilter ref="A3:G54" xr:uid="{00000000-0009-0000-0000-000007000000}"/>
  <mergeCells count="3">
    <mergeCell ref="A1:G1"/>
    <mergeCell ref="A2:G2"/>
    <mergeCell ref="A54:G54"/>
  </mergeCells>
  <phoneticPr fontId="23" type="noConversion"/>
  <pageMargins left="0.59055118110236204" right="0.118110236220472" top="0.35433070866141703" bottom="0.47244094488188998" header="0.31496062992126" footer="0.23622047244094499"/>
  <pageSetup paperSize="9" orientation="portrait" r:id="rId1"/>
  <headerFooter>
    <oddFooter>&amp;C&amp;8第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55"/>
  <sheetViews>
    <sheetView view="pageBreakPreview" zoomScale="115" zoomScaleNormal="100" workbookViewId="0">
      <selection activeCell="E8" sqref="E8"/>
    </sheetView>
  </sheetViews>
  <sheetFormatPr defaultColWidth="9" defaultRowHeight="13.5"/>
  <cols>
    <col min="1" max="1" width="3.73046875" style="100" customWidth="1"/>
    <col min="2" max="2" width="8" style="101" customWidth="1"/>
    <col min="3" max="3" width="21.46484375" style="100" customWidth="1"/>
    <col min="4" max="4" width="10.9296875" style="100" customWidth="1"/>
    <col min="5" max="5" width="39" style="114" customWidth="1"/>
    <col min="6" max="6" width="6.46484375" style="113" customWidth="1"/>
    <col min="7" max="7" width="7.53125" style="100" customWidth="1"/>
  </cols>
  <sheetData>
    <row r="1" spans="1:7" s="120" customFormat="1" ht="25.05" customHeight="1">
      <c r="A1" s="215" t="s">
        <v>372</v>
      </c>
      <c r="B1" s="215"/>
      <c r="C1" s="215"/>
      <c r="D1" s="215"/>
      <c r="E1" s="215"/>
      <c r="F1" s="215"/>
      <c r="G1" s="215"/>
    </row>
    <row r="2" spans="1:7" s="120" customFormat="1" ht="25.05" customHeight="1">
      <c r="A2" s="228" t="s">
        <v>373</v>
      </c>
      <c r="B2" s="228"/>
      <c r="C2" s="228"/>
      <c r="D2" s="228"/>
      <c r="E2" s="228"/>
      <c r="F2" s="228"/>
      <c r="G2" s="228"/>
    </row>
    <row r="3" spans="1:7" s="120" customFormat="1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s="120" customFormat="1" ht="25.05" customHeight="1">
      <c r="A4" s="6">
        <v>1</v>
      </c>
      <c r="B4" s="7" t="s">
        <v>32</v>
      </c>
      <c r="C4" s="196" t="s">
        <v>1084</v>
      </c>
      <c r="D4" s="6" t="s">
        <v>209</v>
      </c>
      <c r="E4" s="11" t="s">
        <v>210</v>
      </c>
      <c r="F4" s="25">
        <v>19</v>
      </c>
      <c r="G4" s="8"/>
    </row>
    <row r="5" spans="1:7" s="120" customFormat="1" ht="25.05" customHeight="1">
      <c r="A5" s="6">
        <v>2</v>
      </c>
      <c r="B5" s="7" t="s">
        <v>32</v>
      </c>
      <c r="C5" s="6" t="s">
        <v>374</v>
      </c>
      <c r="D5" s="6" t="s">
        <v>209</v>
      </c>
      <c r="E5" s="11" t="s">
        <v>211</v>
      </c>
      <c r="F5" s="25">
        <v>15</v>
      </c>
      <c r="G5" s="8"/>
    </row>
    <row r="6" spans="1:7" s="120" customFormat="1" ht="25.05" customHeight="1">
      <c r="A6" s="6">
        <v>3</v>
      </c>
      <c r="B6" s="7" t="s">
        <v>32</v>
      </c>
      <c r="C6" s="6" t="s">
        <v>374</v>
      </c>
      <c r="D6" s="6" t="s">
        <v>209</v>
      </c>
      <c r="E6" s="11" t="s">
        <v>212</v>
      </c>
      <c r="F6" s="25">
        <v>34</v>
      </c>
      <c r="G6" s="8"/>
    </row>
    <row r="7" spans="1:7" s="120" customFormat="1" ht="25.05" customHeight="1">
      <c r="A7" s="6">
        <v>4</v>
      </c>
      <c r="B7" s="7" t="s">
        <v>32</v>
      </c>
      <c r="C7" s="6" t="s">
        <v>374</v>
      </c>
      <c r="D7" s="6" t="s">
        <v>209</v>
      </c>
      <c r="E7" s="11" t="s">
        <v>272</v>
      </c>
      <c r="F7" s="25">
        <v>34</v>
      </c>
      <c r="G7" s="8"/>
    </row>
    <row r="8" spans="1:7" s="120" customFormat="1" ht="25.05" customHeight="1">
      <c r="A8" s="6">
        <v>5</v>
      </c>
      <c r="B8" s="7" t="s">
        <v>32</v>
      </c>
      <c r="C8" s="6" t="s">
        <v>374</v>
      </c>
      <c r="D8" s="6" t="s">
        <v>209</v>
      </c>
      <c r="E8" s="11" t="s">
        <v>214</v>
      </c>
      <c r="F8" s="25">
        <v>26</v>
      </c>
      <c r="G8" s="8"/>
    </row>
    <row r="9" spans="1:7" s="120" customFormat="1" ht="25.05" customHeight="1">
      <c r="A9" s="6">
        <v>6</v>
      </c>
      <c r="B9" s="7" t="s">
        <v>32</v>
      </c>
      <c r="C9" s="6" t="s">
        <v>374</v>
      </c>
      <c r="D9" s="6" t="s">
        <v>209</v>
      </c>
      <c r="E9" s="11" t="s">
        <v>312</v>
      </c>
      <c r="F9" s="25">
        <v>10</v>
      </c>
      <c r="G9" s="8"/>
    </row>
    <row r="10" spans="1:7" s="120" customFormat="1" ht="25.05" customHeight="1">
      <c r="A10" s="6">
        <v>7</v>
      </c>
      <c r="B10" s="7" t="s">
        <v>32</v>
      </c>
      <c r="C10" s="6" t="s">
        <v>374</v>
      </c>
      <c r="D10" s="6" t="s">
        <v>209</v>
      </c>
      <c r="E10" s="11" t="s">
        <v>216</v>
      </c>
      <c r="F10" s="25">
        <v>35</v>
      </c>
      <c r="G10" s="8"/>
    </row>
    <row r="11" spans="1:7" s="120" customFormat="1" ht="25.05" customHeight="1">
      <c r="A11" s="6">
        <v>8</v>
      </c>
      <c r="B11" s="7" t="s">
        <v>32</v>
      </c>
      <c r="C11" s="6" t="s">
        <v>374</v>
      </c>
      <c r="D11" s="6" t="s">
        <v>209</v>
      </c>
      <c r="E11" s="11" t="s">
        <v>292</v>
      </c>
      <c r="F11" s="25">
        <v>12</v>
      </c>
      <c r="G11" s="8"/>
    </row>
    <row r="12" spans="1:7" s="120" customFormat="1" ht="25.05" customHeight="1">
      <c r="A12" s="6">
        <v>9</v>
      </c>
      <c r="B12" s="7" t="s">
        <v>32</v>
      </c>
      <c r="C12" s="6" t="s">
        <v>374</v>
      </c>
      <c r="D12" s="6" t="s">
        <v>209</v>
      </c>
      <c r="E12" s="11" t="s">
        <v>217</v>
      </c>
      <c r="F12" s="25">
        <v>55</v>
      </c>
      <c r="G12" s="8"/>
    </row>
    <row r="13" spans="1:7" s="120" customFormat="1" ht="25.05" customHeight="1">
      <c r="A13" s="6">
        <v>10</v>
      </c>
      <c r="B13" s="7" t="s">
        <v>32</v>
      </c>
      <c r="C13" s="6" t="s">
        <v>374</v>
      </c>
      <c r="D13" s="6" t="s">
        <v>209</v>
      </c>
      <c r="E13" s="11" t="s">
        <v>218</v>
      </c>
      <c r="F13" s="25">
        <v>10</v>
      </c>
      <c r="G13" s="8"/>
    </row>
    <row r="14" spans="1:7" s="120" customFormat="1" ht="25.05" customHeight="1">
      <c r="A14" s="6">
        <v>11</v>
      </c>
      <c r="B14" s="7" t="s">
        <v>32</v>
      </c>
      <c r="C14" s="6" t="s">
        <v>374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s="120" customFormat="1" ht="25.05" customHeight="1">
      <c r="A15" s="6">
        <v>12</v>
      </c>
      <c r="B15" s="7" t="s">
        <v>32</v>
      </c>
      <c r="C15" s="6" t="s">
        <v>374</v>
      </c>
      <c r="D15" s="6" t="s">
        <v>221</v>
      </c>
      <c r="E15" s="11" t="s">
        <v>222</v>
      </c>
      <c r="F15" s="25">
        <v>14</v>
      </c>
      <c r="G15" s="8"/>
    </row>
    <row r="16" spans="1:7" s="120" customFormat="1" ht="25.05" customHeight="1">
      <c r="A16" s="6">
        <v>13</v>
      </c>
      <c r="B16" s="7" t="s">
        <v>32</v>
      </c>
      <c r="C16" s="6" t="s">
        <v>374</v>
      </c>
      <c r="D16" s="6" t="s">
        <v>221</v>
      </c>
      <c r="E16" s="11" t="s">
        <v>223</v>
      </c>
      <c r="F16" s="25">
        <v>22</v>
      </c>
      <c r="G16" s="8"/>
    </row>
    <row r="17" spans="1:7" s="120" customFormat="1" ht="25.05" customHeight="1">
      <c r="A17" s="6">
        <v>14</v>
      </c>
      <c r="B17" s="7" t="s">
        <v>32</v>
      </c>
      <c r="C17" s="6" t="s">
        <v>374</v>
      </c>
      <c r="D17" s="6" t="s">
        <v>221</v>
      </c>
      <c r="E17" s="11" t="s">
        <v>224</v>
      </c>
      <c r="F17" s="25">
        <v>9</v>
      </c>
      <c r="G17" s="8"/>
    </row>
    <row r="18" spans="1:7" s="120" customFormat="1" ht="25.05" customHeight="1">
      <c r="A18" s="6">
        <v>15</v>
      </c>
      <c r="B18" s="7" t="s">
        <v>32</v>
      </c>
      <c r="C18" s="6" t="s">
        <v>374</v>
      </c>
      <c r="D18" s="6" t="s">
        <v>221</v>
      </c>
      <c r="E18" s="11" t="s">
        <v>361</v>
      </c>
      <c r="F18" s="25">
        <v>20</v>
      </c>
      <c r="G18" s="8"/>
    </row>
    <row r="19" spans="1:7" s="120" customFormat="1" ht="29.55" customHeight="1">
      <c r="A19" s="6">
        <v>16</v>
      </c>
      <c r="B19" s="7" t="s">
        <v>32</v>
      </c>
      <c r="C19" s="6" t="s">
        <v>374</v>
      </c>
      <c r="D19" s="6" t="s">
        <v>221</v>
      </c>
      <c r="E19" s="11" t="s">
        <v>343</v>
      </c>
      <c r="F19" s="25">
        <v>22</v>
      </c>
      <c r="G19" s="8"/>
    </row>
    <row r="20" spans="1:7" s="120" customFormat="1" ht="25.05" customHeight="1">
      <c r="A20" s="6">
        <v>17</v>
      </c>
      <c r="B20" s="7" t="s">
        <v>32</v>
      </c>
      <c r="C20" s="6" t="s">
        <v>374</v>
      </c>
      <c r="D20" s="6" t="s">
        <v>221</v>
      </c>
      <c r="E20" s="11" t="s">
        <v>362</v>
      </c>
      <c r="F20" s="25">
        <v>20</v>
      </c>
      <c r="G20" s="8"/>
    </row>
    <row r="21" spans="1:7" s="120" customFormat="1" ht="25.05" customHeight="1">
      <c r="A21" s="6">
        <v>18</v>
      </c>
      <c r="B21" s="7" t="s">
        <v>32</v>
      </c>
      <c r="C21" s="6" t="s">
        <v>374</v>
      </c>
      <c r="D21" s="3" t="s">
        <v>219</v>
      </c>
      <c r="E21" s="9" t="s">
        <v>228</v>
      </c>
      <c r="F21" s="85">
        <f>SUM(F15:F20)</f>
        <v>107</v>
      </c>
      <c r="G21" s="9"/>
    </row>
    <row r="22" spans="1:7" s="120" customFormat="1" ht="25.05" customHeight="1">
      <c r="A22" s="6">
        <v>19</v>
      </c>
      <c r="B22" s="7" t="s">
        <v>32</v>
      </c>
      <c r="C22" s="6" t="s">
        <v>374</v>
      </c>
      <c r="D22" s="6" t="s">
        <v>229</v>
      </c>
      <c r="E22" s="11" t="s">
        <v>230</v>
      </c>
      <c r="F22" s="25">
        <v>14</v>
      </c>
      <c r="G22" s="8"/>
    </row>
    <row r="23" spans="1:7" s="120" customFormat="1" ht="25.05" customHeight="1">
      <c r="A23" s="6">
        <v>20</v>
      </c>
      <c r="B23" s="7" t="s">
        <v>32</v>
      </c>
      <c r="C23" s="6" t="s">
        <v>374</v>
      </c>
      <c r="D23" s="6" t="s">
        <v>229</v>
      </c>
      <c r="E23" s="11" t="s">
        <v>231</v>
      </c>
      <c r="F23" s="25">
        <v>32</v>
      </c>
      <c r="G23" s="8"/>
    </row>
    <row r="24" spans="1:7" s="120" customFormat="1" ht="25.05" customHeight="1">
      <c r="A24" s="6">
        <v>21</v>
      </c>
      <c r="B24" s="7" t="s">
        <v>32</v>
      </c>
      <c r="C24" s="6" t="s">
        <v>374</v>
      </c>
      <c r="D24" s="6" t="s">
        <v>229</v>
      </c>
      <c r="E24" s="11" t="s">
        <v>232</v>
      </c>
      <c r="F24" s="25">
        <v>18</v>
      </c>
      <c r="G24" s="8"/>
    </row>
    <row r="25" spans="1:7" s="120" customFormat="1" ht="25.05" customHeight="1">
      <c r="A25" s="6">
        <v>22</v>
      </c>
      <c r="B25" s="7" t="s">
        <v>32</v>
      </c>
      <c r="C25" s="6" t="s">
        <v>374</v>
      </c>
      <c r="D25" s="6" t="s">
        <v>229</v>
      </c>
      <c r="E25" s="11" t="s">
        <v>233</v>
      </c>
      <c r="F25" s="25">
        <v>25</v>
      </c>
      <c r="G25" s="8"/>
    </row>
    <row r="26" spans="1:7" s="120" customFormat="1" ht="25.05" customHeight="1">
      <c r="A26" s="6">
        <v>23</v>
      </c>
      <c r="B26" s="7" t="s">
        <v>32</v>
      </c>
      <c r="C26" s="6" t="s">
        <v>374</v>
      </c>
      <c r="D26" s="6" t="s">
        <v>229</v>
      </c>
      <c r="E26" s="11" t="s">
        <v>234</v>
      </c>
      <c r="F26" s="25">
        <v>19</v>
      </c>
      <c r="G26" s="8"/>
    </row>
    <row r="27" spans="1:7" s="120" customFormat="1" ht="25.05" customHeight="1">
      <c r="A27" s="6">
        <v>24</v>
      </c>
      <c r="B27" s="7" t="s">
        <v>32</v>
      </c>
      <c r="C27" s="6" t="s">
        <v>374</v>
      </c>
      <c r="D27" s="6" t="s">
        <v>229</v>
      </c>
      <c r="E27" s="11" t="s">
        <v>375</v>
      </c>
      <c r="F27" s="25">
        <v>12</v>
      </c>
      <c r="G27" s="8"/>
    </row>
    <row r="28" spans="1:7" s="120" customFormat="1" ht="25.05" customHeight="1">
      <c r="A28" s="6">
        <v>25</v>
      </c>
      <c r="B28" s="7" t="s">
        <v>32</v>
      </c>
      <c r="C28" s="6" t="s">
        <v>374</v>
      </c>
      <c r="D28" s="6" t="s">
        <v>229</v>
      </c>
      <c r="E28" s="11" t="s">
        <v>235</v>
      </c>
      <c r="F28" s="25">
        <v>10</v>
      </c>
      <c r="G28" s="8"/>
    </row>
    <row r="29" spans="1:7" s="120" customFormat="1" ht="25.05" customHeight="1">
      <c r="A29" s="6">
        <v>26</v>
      </c>
      <c r="B29" s="7" t="s">
        <v>32</v>
      </c>
      <c r="C29" s="6" t="s">
        <v>374</v>
      </c>
      <c r="D29" s="6" t="s">
        <v>229</v>
      </c>
      <c r="E29" s="11" t="s">
        <v>237</v>
      </c>
      <c r="F29" s="25">
        <v>8</v>
      </c>
      <c r="G29" s="8"/>
    </row>
    <row r="30" spans="1:7" s="120" customFormat="1" ht="25.05" customHeight="1">
      <c r="A30" s="6">
        <v>27</v>
      </c>
      <c r="B30" s="7" t="s">
        <v>32</v>
      </c>
      <c r="C30" s="6" t="s">
        <v>374</v>
      </c>
      <c r="D30" s="3" t="s">
        <v>219</v>
      </c>
      <c r="E30" s="9" t="s">
        <v>238</v>
      </c>
      <c r="F30" s="79">
        <f>SUM(F22:F29)</f>
        <v>138</v>
      </c>
      <c r="G30" s="9"/>
    </row>
    <row r="31" spans="1:7" s="120" customFormat="1" ht="29.55" customHeight="1">
      <c r="A31" s="6">
        <v>28</v>
      </c>
      <c r="B31" s="7" t="s">
        <v>32</v>
      </c>
      <c r="C31" s="6" t="s">
        <v>374</v>
      </c>
      <c r="D31" s="6" t="s">
        <v>239</v>
      </c>
      <c r="E31" s="11" t="s">
        <v>240</v>
      </c>
      <c r="F31" s="25">
        <v>70</v>
      </c>
      <c r="G31" s="8"/>
    </row>
    <row r="32" spans="1:7" s="120" customFormat="1" ht="32.549999999999997" customHeight="1">
      <c r="A32" s="6">
        <v>29</v>
      </c>
      <c r="B32" s="7" t="s">
        <v>32</v>
      </c>
      <c r="C32" s="6" t="s">
        <v>374</v>
      </c>
      <c r="D32" s="6" t="s">
        <v>239</v>
      </c>
      <c r="E32" s="11" t="s">
        <v>241</v>
      </c>
      <c r="F32" s="25">
        <v>60</v>
      </c>
      <c r="G32" s="8"/>
    </row>
    <row r="33" spans="1:7" s="120" customFormat="1" ht="25.05" customHeight="1">
      <c r="A33" s="6">
        <v>30</v>
      </c>
      <c r="B33" s="7" t="s">
        <v>32</v>
      </c>
      <c r="C33" s="6" t="s">
        <v>374</v>
      </c>
      <c r="D33" s="3" t="s">
        <v>219</v>
      </c>
      <c r="E33" s="9" t="s">
        <v>242</v>
      </c>
      <c r="F33" s="79">
        <f>SUM(F31:F32)</f>
        <v>130</v>
      </c>
      <c r="G33" s="9"/>
    </row>
    <row r="34" spans="1:7" s="120" customFormat="1" ht="25.05" customHeight="1">
      <c r="A34" s="6">
        <v>31</v>
      </c>
      <c r="B34" s="7" t="s">
        <v>32</v>
      </c>
      <c r="C34" s="6" t="s">
        <v>374</v>
      </c>
      <c r="D34" s="82" t="s">
        <v>259</v>
      </c>
      <c r="E34" s="11" t="s">
        <v>376</v>
      </c>
      <c r="F34" s="8">
        <v>20</v>
      </c>
      <c r="G34" s="8"/>
    </row>
    <row r="35" spans="1:7" s="120" customFormat="1" ht="25.05" customHeight="1">
      <c r="A35" s="6">
        <v>32</v>
      </c>
      <c r="B35" s="7" t="s">
        <v>32</v>
      </c>
      <c r="C35" s="6" t="s">
        <v>374</v>
      </c>
      <c r="D35" s="82" t="s">
        <v>259</v>
      </c>
      <c r="E35" s="8" t="s">
        <v>276</v>
      </c>
      <c r="F35" s="110">
        <v>10</v>
      </c>
      <c r="G35" s="8"/>
    </row>
    <row r="36" spans="1:7" s="120" customFormat="1" ht="25.05" customHeight="1">
      <c r="A36" s="6">
        <v>33</v>
      </c>
      <c r="B36" s="7" t="s">
        <v>32</v>
      </c>
      <c r="C36" s="6" t="s">
        <v>374</v>
      </c>
      <c r="D36" s="3" t="s">
        <v>219</v>
      </c>
      <c r="E36" s="9" t="s">
        <v>261</v>
      </c>
      <c r="F36" s="79">
        <f>SUM(F34:F35)</f>
        <v>30</v>
      </c>
      <c r="G36" s="9"/>
    </row>
    <row r="37" spans="1:7" s="120" customFormat="1" ht="25.05" customHeight="1">
      <c r="A37" s="6">
        <v>34</v>
      </c>
      <c r="B37" s="7" t="s">
        <v>32</v>
      </c>
      <c r="C37" s="6" t="s">
        <v>374</v>
      </c>
      <c r="D37" s="6" t="s">
        <v>243</v>
      </c>
      <c r="E37" s="11" t="s">
        <v>277</v>
      </c>
      <c r="F37" s="25">
        <v>10.199999999999999</v>
      </c>
      <c r="G37" s="8"/>
    </row>
    <row r="38" spans="1:7" s="120" customFormat="1" ht="25.05" customHeight="1">
      <c r="A38" s="6">
        <v>35</v>
      </c>
      <c r="B38" s="7" t="s">
        <v>32</v>
      </c>
      <c r="C38" s="6" t="s">
        <v>374</v>
      </c>
      <c r="D38" s="6" t="s">
        <v>243</v>
      </c>
      <c r="E38" s="11" t="s">
        <v>278</v>
      </c>
      <c r="F38" s="25">
        <v>10.199999999999999</v>
      </c>
      <c r="G38" s="8"/>
    </row>
    <row r="39" spans="1:7" s="120" customFormat="1" ht="25.05" customHeight="1">
      <c r="A39" s="6">
        <v>36</v>
      </c>
      <c r="B39" s="7" t="s">
        <v>32</v>
      </c>
      <c r="C39" s="6" t="s">
        <v>374</v>
      </c>
      <c r="D39" s="6" t="s">
        <v>243</v>
      </c>
      <c r="E39" s="11" t="s">
        <v>279</v>
      </c>
      <c r="F39" s="25">
        <v>17.16</v>
      </c>
      <c r="G39" s="8"/>
    </row>
    <row r="40" spans="1:7" s="120" customFormat="1" ht="25.05" customHeight="1">
      <c r="A40" s="6">
        <v>37</v>
      </c>
      <c r="B40" s="7" t="s">
        <v>32</v>
      </c>
      <c r="C40" s="6" t="s">
        <v>374</v>
      </c>
      <c r="D40" s="6" t="s">
        <v>243</v>
      </c>
      <c r="E40" s="11" t="s">
        <v>247</v>
      </c>
      <c r="F40" s="25">
        <v>2</v>
      </c>
      <c r="G40" s="8"/>
    </row>
    <row r="41" spans="1:7" s="120" customFormat="1" ht="25.05" customHeight="1">
      <c r="A41" s="6">
        <v>38</v>
      </c>
      <c r="B41" s="7" t="s">
        <v>32</v>
      </c>
      <c r="C41" s="6" t="s">
        <v>374</v>
      </c>
      <c r="D41" s="3" t="s">
        <v>219</v>
      </c>
      <c r="E41" s="9" t="s">
        <v>248</v>
      </c>
      <c r="F41" s="79">
        <f>SUM(F37:F40)</f>
        <v>39.56</v>
      </c>
      <c r="G41" s="9"/>
    </row>
    <row r="42" spans="1:7" s="120" customFormat="1" ht="25.05" customHeight="1">
      <c r="A42" s="6">
        <v>39</v>
      </c>
      <c r="B42" s="7" t="s">
        <v>32</v>
      </c>
      <c r="C42" s="6" t="s">
        <v>374</v>
      </c>
      <c r="D42" s="6" t="s">
        <v>249</v>
      </c>
      <c r="E42" s="11" t="s">
        <v>366</v>
      </c>
      <c r="F42" s="25">
        <v>10</v>
      </c>
      <c r="G42" s="8"/>
    </row>
    <row r="43" spans="1:7" s="120" customFormat="1" ht="25.05" customHeight="1">
      <c r="A43" s="6">
        <v>40</v>
      </c>
      <c r="B43" s="7" t="s">
        <v>32</v>
      </c>
      <c r="C43" s="6" t="s">
        <v>374</v>
      </c>
      <c r="D43" s="6" t="s">
        <v>249</v>
      </c>
      <c r="E43" s="11" t="s">
        <v>367</v>
      </c>
      <c r="F43" s="25">
        <v>10</v>
      </c>
      <c r="G43" s="8"/>
    </row>
    <row r="44" spans="1:7" s="120" customFormat="1" ht="25.05" customHeight="1">
      <c r="A44" s="6">
        <v>41</v>
      </c>
      <c r="B44" s="7" t="s">
        <v>32</v>
      </c>
      <c r="C44" s="6" t="s">
        <v>374</v>
      </c>
      <c r="D44" s="6" t="s">
        <v>249</v>
      </c>
      <c r="E44" s="11" t="s">
        <v>368</v>
      </c>
      <c r="F44" s="25">
        <v>45</v>
      </c>
      <c r="G44" s="8"/>
    </row>
    <row r="45" spans="1:7" s="120" customFormat="1" ht="25.05" customHeight="1">
      <c r="A45" s="6">
        <v>42</v>
      </c>
      <c r="B45" s="7" t="s">
        <v>32</v>
      </c>
      <c r="C45" s="6" t="s">
        <v>374</v>
      </c>
      <c r="D45" s="6" t="s">
        <v>249</v>
      </c>
      <c r="E45" s="11" t="s">
        <v>369</v>
      </c>
      <c r="F45" s="25">
        <v>10</v>
      </c>
      <c r="G45" s="8"/>
    </row>
    <row r="46" spans="1:7" s="120" customFormat="1" ht="25.05" customHeight="1">
      <c r="A46" s="6">
        <v>43</v>
      </c>
      <c r="B46" s="7" t="s">
        <v>32</v>
      </c>
      <c r="C46" s="6" t="s">
        <v>374</v>
      </c>
      <c r="D46" s="6" t="s">
        <v>249</v>
      </c>
      <c r="E46" s="11" t="s">
        <v>285</v>
      </c>
      <c r="F46" s="25">
        <v>5</v>
      </c>
      <c r="G46" s="8"/>
    </row>
    <row r="47" spans="1:7" s="120" customFormat="1" ht="25.05" customHeight="1">
      <c r="A47" s="6">
        <v>44</v>
      </c>
      <c r="B47" s="7" t="s">
        <v>32</v>
      </c>
      <c r="C47" s="6" t="s">
        <v>374</v>
      </c>
      <c r="D47" s="3" t="s">
        <v>219</v>
      </c>
      <c r="E47" s="9" t="s">
        <v>255</v>
      </c>
      <c r="F47" s="79">
        <f>SUM(F42:F46)</f>
        <v>80</v>
      </c>
      <c r="G47" s="9"/>
    </row>
    <row r="48" spans="1:7" s="120" customFormat="1" ht="25.05" customHeight="1">
      <c r="A48" s="6">
        <v>45</v>
      </c>
      <c r="B48" s="7" t="s">
        <v>32</v>
      </c>
      <c r="C48" s="6" t="s">
        <v>374</v>
      </c>
      <c r="D48" s="82" t="s">
        <v>256</v>
      </c>
      <c r="E48" s="11" t="s">
        <v>286</v>
      </c>
      <c r="F48" s="117">
        <v>10</v>
      </c>
      <c r="G48" s="8"/>
    </row>
    <row r="49" spans="1:7" s="120" customFormat="1" ht="25.05" customHeight="1">
      <c r="A49" s="6">
        <v>46</v>
      </c>
      <c r="B49" s="7" t="s">
        <v>32</v>
      </c>
      <c r="C49" s="6" t="s">
        <v>374</v>
      </c>
      <c r="D49" s="3" t="s">
        <v>219</v>
      </c>
      <c r="E49" s="9" t="s">
        <v>255</v>
      </c>
      <c r="F49" s="79">
        <f>SUM(F48)</f>
        <v>10</v>
      </c>
      <c r="G49" s="9"/>
    </row>
    <row r="50" spans="1:7" s="120" customFormat="1" ht="25.05" customHeight="1">
      <c r="A50" s="6">
        <v>47</v>
      </c>
      <c r="B50" s="7" t="s">
        <v>32</v>
      </c>
      <c r="C50" s="6" t="s">
        <v>374</v>
      </c>
      <c r="D50" s="6" t="s">
        <v>262</v>
      </c>
      <c r="E50" s="11" t="s">
        <v>263</v>
      </c>
      <c r="F50" s="25">
        <v>85</v>
      </c>
      <c r="G50" s="8"/>
    </row>
    <row r="51" spans="1:7" s="120" customFormat="1" ht="25.05" customHeight="1">
      <c r="A51" s="6">
        <v>48</v>
      </c>
      <c r="B51" s="7" t="s">
        <v>32</v>
      </c>
      <c r="C51" s="6" t="s">
        <v>374</v>
      </c>
      <c r="D51" s="6" t="s">
        <v>262</v>
      </c>
      <c r="E51" s="11" t="s">
        <v>264</v>
      </c>
      <c r="F51" s="25">
        <v>40</v>
      </c>
      <c r="G51" s="8"/>
    </row>
    <row r="52" spans="1:7" s="120" customFormat="1" ht="25.05" customHeight="1">
      <c r="A52" s="6">
        <v>49</v>
      </c>
      <c r="B52" s="7" t="s">
        <v>32</v>
      </c>
      <c r="C52" s="6" t="s">
        <v>374</v>
      </c>
      <c r="D52" s="6" t="s">
        <v>262</v>
      </c>
      <c r="E52" s="11" t="s">
        <v>265</v>
      </c>
      <c r="F52" s="25">
        <v>20</v>
      </c>
      <c r="G52" s="8"/>
    </row>
    <row r="53" spans="1:7" s="120" customFormat="1" ht="25.05" customHeight="1">
      <c r="A53" s="6">
        <v>50</v>
      </c>
      <c r="B53" s="7" t="s">
        <v>32</v>
      </c>
      <c r="C53" s="6" t="s">
        <v>374</v>
      </c>
      <c r="D53" s="3" t="s">
        <v>219</v>
      </c>
      <c r="E53" s="9" t="s">
        <v>266</v>
      </c>
      <c r="F53" s="79">
        <f>SUM(F50:F52)</f>
        <v>145</v>
      </c>
      <c r="G53" s="9"/>
    </row>
    <row r="54" spans="1:7" s="120" customFormat="1" ht="31.05" customHeight="1">
      <c r="A54" s="6">
        <v>51</v>
      </c>
      <c r="B54" s="7" t="s">
        <v>32</v>
      </c>
      <c r="C54" s="6" t="s">
        <v>374</v>
      </c>
      <c r="D54" s="3" t="s">
        <v>267</v>
      </c>
      <c r="E54" s="10" t="s">
        <v>377</v>
      </c>
      <c r="F54" s="85">
        <v>930</v>
      </c>
      <c r="G54" s="9"/>
    </row>
    <row r="55" spans="1:7" s="120" customFormat="1" ht="25.05" customHeight="1">
      <c r="A55" s="220" t="s">
        <v>269</v>
      </c>
      <c r="B55" s="221"/>
      <c r="C55" s="221"/>
      <c r="D55" s="221"/>
      <c r="E55" s="221"/>
      <c r="F55" s="221"/>
      <c r="G55" s="222"/>
    </row>
  </sheetData>
  <autoFilter ref="A3:G55" xr:uid="{00000000-0009-0000-0000-000008000000}"/>
  <mergeCells count="3">
    <mergeCell ref="A1:G1"/>
    <mergeCell ref="A2:G2"/>
    <mergeCell ref="A55:G55"/>
  </mergeCells>
  <phoneticPr fontId="23" type="noConversion"/>
  <pageMargins left="0.59055118110236204" right="0.15748031496063" top="0.39370078740157499" bottom="0.47244094488188998" header="0.39370078740157499" footer="0.27559055118110198"/>
  <pageSetup paperSize="9" orientation="portrait" r:id="rId1"/>
  <headerFooter>
    <oddFooter>&amp;C&amp;8第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7"/>
  <sheetViews>
    <sheetView view="pageBreakPreview" zoomScale="130" zoomScaleNormal="100" workbookViewId="0">
      <pane ySplit="3" topLeftCell="A19" activePane="bottomLeft" state="frozen"/>
      <selection pane="bottomLeft" activeCell="E13" sqref="E13"/>
    </sheetView>
  </sheetViews>
  <sheetFormatPr defaultColWidth="9" defaultRowHeight="13.5"/>
  <cols>
    <col min="1" max="1" width="4.06640625" style="152" customWidth="1"/>
    <col min="2" max="2" width="8.9296875" style="153" customWidth="1"/>
    <col min="3" max="3" width="11.46484375" style="152" customWidth="1"/>
    <col min="4" max="4" width="10.53125" style="152" customWidth="1"/>
    <col min="5" max="5" width="46.33203125" style="152" customWidth="1"/>
    <col min="6" max="6" width="7" style="154" customWidth="1"/>
    <col min="7" max="7" width="8.06640625" style="152" customWidth="1"/>
    <col min="8" max="16384" width="9" style="16"/>
  </cols>
  <sheetData>
    <row r="1" spans="1:10" s="67" customFormat="1" ht="25.05" customHeight="1">
      <c r="A1" s="229" t="s">
        <v>378</v>
      </c>
      <c r="B1" s="229"/>
      <c r="C1" s="229"/>
      <c r="D1" s="229"/>
      <c r="E1" s="229"/>
      <c r="F1" s="229"/>
      <c r="G1" s="229"/>
      <c r="H1" s="155"/>
      <c r="I1" s="155"/>
      <c r="J1" s="155"/>
    </row>
    <row r="2" spans="1:10" s="67" customFormat="1" ht="25.05" customHeight="1">
      <c r="A2" s="230" t="s">
        <v>379</v>
      </c>
      <c r="B2" s="230"/>
      <c r="C2" s="230"/>
      <c r="D2" s="230"/>
      <c r="E2" s="230"/>
      <c r="F2" s="230"/>
      <c r="G2" s="230"/>
    </row>
    <row r="3" spans="1:10" s="67" customFormat="1" ht="25.05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10" s="67" customFormat="1" ht="25.05" customHeight="1">
      <c r="A4" s="20">
        <v>1</v>
      </c>
      <c r="B4" s="21" t="s">
        <v>32</v>
      </c>
      <c r="C4" s="20" t="s">
        <v>41</v>
      </c>
      <c r="D4" s="20" t="s">
        <v>209</v>
      </c>
      <c r="E4" s="22" t="s">
        <v>210</v>
      </c>
      <c r="F4" s="23">
        <v>19</v>
      </c>
      <c r="G4" s="22"/>
    </row>
    <row r="5" spans="1:10" s="67" customFormat="1" ht="25.05" customHeight="1">
      <c r="A5" s="20">
        <v>2</v>
      </c>
      <c r="B5" s="21" t="s">
        <v>32</v>
      </c>
      <c r="C5" s="20" t="s">
        <v>41</v>
      </c>
      <c r="D5" s="20" t="s">
        <v>209</v>
      </c>
      <c r="E5" s="22" t="s">
        <v>211</v>
      </c>
      <c r="F5" s="23">
        <v>15</v>
      </c>
      <c r="G5" s="22"/>
    </row>
    <row r="6" spans="1:10" s="67" customFormat="1" ht="25.05" customHeight="1">
      <c r="A6" s="20">
        <v>3</v>
      </c>
      <c r="B6" s="21" t="s">
        <v>32</v>
      </c>
      <c r="C6" s="20" t="s">
        <v>41</v>
      </c>
      <c r="D6" s="20" t="s">
        <v>209</v>
      </c>
      <c r="E6" s="22" t="s">
        <v>212</v>
      </c>
      <c r="F6" s="23">
        <v>34</v>
      </c>
      <c r="G6" s="22"/>
    </row>
    <row r="7" spans="1:10" s="67" customFormat="1" ht="25.05" customHeight="1">
      <c r="A7" s="20">
        <v>4</v>
      </c>
      <c r="B7" s="21" t="s">
        <v>32</v>
      </c>
      <c r="C7" s="20" t="s">
        <v>41</v>
      </c>
      <c r="D7" s="20" t="s">
        <v>209</v>
      </c>
      <c r="E7" s="22" t="s">
        <v>272</v>
      </c>
      <c r="F7" s="23">
        <v>34</v>
      </c>
      <c r="G7" s="22"/>
    </row>
    <row r="8" spans="1:10" s="67" customFormat="1" ht="25.05" customHeight="1">
      <c r="A8" s="20">
        <v>5</v>
      </c>
      <c r="B8" s="21" t="s">
        <v>32</v>
      </c>
      <c r="C8" s="20" t="s">
        <v>41</v>
      </c>
      <c r="D8" s="20" t="s">
        <v>209</v>
      </c>
      <c r="E8" s="22" t="s">
        <v>214</v>
      </c>
      <c r="F8" s="23">
        <v>26</v>
      </c>
      <c r="G8" s="22"/>
    </row>
    <row r="9" spans="1:10" s="67" customFormat="1" ht="25.05" customHeight="1">
      <c r="A9" s="20">
        <v>6</v>
      </c>
      <c r="B9" s="21" t="s">
        <v>32</v>
      </c>
      <c r="C9" s="20" t="s">
        <v>41</v>
      </c>
      <c r="D9" s="20" t="s">
        <v>209</v>
      </c>
      <c r="E9" s="22" t="s">
        <v>312</v>
      </c>
      <c r="F9" s="23">
        <v>10</v>
      </c>
      <c r="G9" s="22"/>
    </row>
    <row r="10" spans="1:10" s="67" customFormat="1" ht="25.05" customHeight="1">
      <c r="A10" s="20">
        <v>7</v>
      </c>
      <c r="B10" s="21" t="s">
        <v>32</v>
      </c>
      <c r="C10" s="20" t="s">
        <v>41</v>
      </c>
      <c r="D10" s="20" t="s">
        <v>209</v>
      </c>
      <c r="E10" s="22" t="s">
        <v>216</v>
      </c>
      <c r="F10" s="23">
        <v>35</v>
      </c>
      <c r="G10" s="22"/>
    </row>
    <row r="11" spans="1:10" s="67" customFormat="1" ht="25.05" customHeight="1">
      <c r="A11" s="20">
        <v>8</v>
      </c>
      <c r="B11" s="21" t="s">
        <v>32</v>
      </c>
      <c r="C11" s="20" t="s">
        <v>41</v>
      </c>
      <c r="D11" s="20" t="s">
        <v>209</v>
      </c>
      <c r="E11" s="22" t="s">
        <v>292</v>
      </c>
      <c r="F11" s="23">
        <v>12</v>
      </c>
      <c r="G11" s="22"/>
    </row>
    <row r="12" spans="1:10" s="67" customFormat="1" ht="25.05" customHeight="1">
      <c r="A12" s="20">
        <v>9</v>
      </c>
      <c r="B12" s="21" t="s">
        <v>32</v>
      </c>
      <c r="C12" s="20" t="s">
        <v>41</v>
      </c>
      <c r="D12" s="20" t="s">
        <v>209</v>
      </c>
      <c r="E12" s="22" t="s">
        <v>217</v>
      </c>
      <c r="F12" s="23">
        <v>55</v>
      </c>
      <c r="G12" s="22"/>
    </row>
    <row r="13" spans="1:10" s="67" customFormat="1" ht="25.05" customHeight="1">
      <c r="A13" s="20">
        <v>10</v>
      </c>
      <c r="B13" s="21" t="s">
        <v>32</v>
      </c>
      <c r="C13" s="20" t="s">
        <v>41</v>
      </c>
      <c r="D13" s="20" t="s">
        <v>209</v>
      </c>
      <c r="E13" s="22" t="s">
        <v>218</v>
      </c>
      <c r="F13" s="23">
        <v>10</v>
      </c>
      <c r="G13" s="22"/>
    </row>
    <row r="14" spans="1:10" s="67" customFormat="1" ht="25.05" customHeight="1">
      <c r="A14" s="20">
        <v>11</v>
      </c>
      <c r="B14" s="21" t="s">
        <v>32</v>
      </c>
      <c r="C14" s="20" t="s">
        <v>41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10" s="67" customFormat="1" ht="25.05" customHeight="1">
      <c r="A15" s="20">
        <v>12</v>
      </c>
      <c r="B15" s="21" t="s">
        <v>32</v>
      </c>
      <c r="C15" s="20" t="s">
        <v>41</v>
      </c>
      <c r="D15" s="20" t="s">
        <v>221</v>
      </c>
      <c r="E15" s="22" t="s">
        <v>222</v>
      </c>
      <c r="F15" s="23">
        <v>14</v>
      </c>
      <c r="G15" s="22"/>
    </row>
    <row r="16" spans="1:10" s="67" customFormat="1" ht="25.05" customHeight="1">
      <c r="A16" s="20">
        <v>13</v>
      </c>
      <c r="B16" s="21" t="s">
        <v>32</v>
      </c>
      <c r="C16" s="20" t="s">
        <v>41</v>
      </c>
      <c r="D16" s="20" t="s">
        <v>221</v>
      </c>
      <c r="E16" s="22" t="s">
        <v>223</v>
      </c>
      <c r="F16" s="23">
        <v>22</v>
      </c>
      <c r="G16" s="22"/>
    </row>
    <row r="17" spans="1:7" s="67" customFormat="1" ht="25.05" customHeight="1">
      <c r="A17" s="20">
        <v>14</v>
      </c>
      <c r="B17" s="21" t="s">
        <v>32</v>
      </c>
      <c r="C17" s="20" t="s">
        <v>41</v>
      </c>
      <c r="D17" s="20" t="s">
        <v>221</v>
      </c>
      <c r="E17" s="22" t="s">
        <v>224</v>
      </c>
      <c r="F17" s="23">
        <v>9</v>
      </c>
      <c r="G17" s="22"/>
    </row>
    <row r="18" spans="1:7" s="67" customFormat="1" ht="25.05" customHeight="1">
      <c r="A18" s="20">
        <v>15</v>
      </c>
      <c r="B18" s="21" t="s">
        <v>32</v>
      </c>
      <c r="C18" s="20" t="s">
        <v>41</v>
      </c>
      <c r="D18" s="20" t="s">
        <v>221</v>
      </c>
      <c r="E18" s="22" t="s">
        <v>380</v>
      </c>
      <c r="F18" s="23">
        <v>12</v>
      </c>
      <c r="G18" s="22"/>
    </row>
    <row r="19" spans="1:7" s="67" customFormat="1" ht="25.05" customHeight="1">
      <c r="A19" s="20">
        <v>16</v>
      </c>
      <c r="B19" s="21" t="s">
        <v>32</v>
      </c>
      <c r="C19" s="20" t="s">
        <v>41</v>
      </c>
      <c r="D19" s="20" t="s">
        <v>221</v>
      </c>
      <c r="E19" s="30" t="s">
        <v>361</v>
      </c>
      <c r="F19" s="23">
        <v>20</v>
      </c>
      <c r="G19" s="22"/>
    </row>
    <row r="20" spans="1:7" s="67" customFormat="1" ht="25.05" customHeight="1">
      <c r="A20" s="20">
        <v>17</v>
      </c>
      <c r="B20" s="21" t="s">
        <v>32</v>
      </c>
      <c r="C20" s="20" t="s">
        <v>41</v>
      </c>
      <c r="D20" s="20" t="s">
        <v>221</v>
      </c>
      <c r="E20" s="30" t="s">
        <v>343</v>
      </c>
      <c r="F20" s="23">
        <v>22</v>
      </c>
      <c r="G20" s="22"/>
    </row>
    <row r="21" spans="1:7" s="67" customFormat="1" ht="25.05" customHeight="1">
      <c r="A21" s="20">
        <v>18</v>
      </c>
      <c r="B21" s="21" t="s">
        <v>32</v>
      </c>
      <c r="C21" s="20" t="s">
        <v>41</v>
      </c>
      <c r="D21" s="20" t="s">
        <v>221</v>
      </c>
      <c r="E21" s="22" t="s">
        <v>362</v>
      </c>
      <c r="F21" s="23">
        <v>20</v>
      </c>
      <c r="G21" s="22"/>
    </row>
    <row r="22" spans="1:7" s="67" customFormat="1" ht="25.05" customHeight="1">
      <c r="A22" s="20">
        <v>19</v>
      </c>
      <c r="B22" s="21" t="s">
        <v>32</v>
      </c>
      <c r="C22" s="20" t="s">
        <v>41</v>
      </c>
      <c r="D22" s="17" t="s">
        <v>219</v>
      </c>
      <c r="E22" s="36" t="s">
        <v>228</v>
      </c>
      <c r="F22" s="37">
        <f>SUM(F15:F21)</f>
        <v>119</v>
      </c>
      <c r="G22" s="36"/>
    </row>
    <row r="23" spans="1:7" s="67" customFormat="1" ht="25.05" customHeight="1">
      <c r="A23" s="20">
        <v>20</v>
      </c>
      <c r="B23" s="21" t="s">
        <v>32</v>
      </c>
      <c r="C23" s="20" t="s">
        <v>41</v>
      </c>
      <c r="D23" s="20" t="s">
        <v>229</v>
      </c>
      <c r="E23" s="22" t="s">
        <v>230</v>
      </c>
      <c r="F23" s="23">
        <v>14</v>
      </c>
      <c r="G23" s="22"/>
    </row>
    <row r="24" spans="1:7" s="67" customFormat="1" ht="25.05" customHeight="1">
      <c r="A24" s="20">
        <v>21</v>
      </c>
      <c r="B24" s="21" t="s">
        <v>32</v>
      </c>
      <c r="C24" s="20" t="s">
        <v>41</v>
      </c>
      <c r="D24" s="20" t="s">
        <v>229</v>
      </c>
      <c r="E24" s="22" t="s">
        <v>295</v>
      </c>
      <c r="F24" s="23">
        <v>32</v>
      </c>
      <c r="G24" s="22"/>
    </row>
    <row r="25" spans="1:7" s="67" customFormat="1" ht="25.05" customHeight="1">
      <c r="A25" s="20">
        <v>22</v>
      </c>
      <c r="B25" s="21" t="s">
        <v>32</v>
      </c>
      <c r="C25" s="20" t="s">
        <v>41</v>
      </c>
      <c r="D25" s="20" t="s">
        <v>229</v>
      </c>
      <c r="E25" s="22" t="s">
        <v>232</v>
      </c>
      <c r="F25" s="23">
        <v>18</v>
      </c>
      <c r="G25" s="22"/>
    </row>
    <row r="26" spans="1:7" s="67" customFormat="1" ht="25.05" customHeight="1">
      <c r="A26" s="20">
        <v>23</v>
      </c>
      <c r="B26" s="21" t="s">
        <v>32</v>
      </c>
      <c r="C26" s="20" t="s">
        <v>41</v>
      </c>
      <c r="D26" s="20" t="s">
        <v>229</v>
      </c>
      <c r="E26" s="22" t="s">
        <v>381</v>
      </c>
      <c r="F26" s="23">
        <v>25</v>
      </c>
      <c r="G26" s="22"/>
    </row>
    <row r="27" spans="1:7" s="67" customFormat="1" ht="25.05" customHeight="1">
      <c r="A27" s="20">
        <v>24</v>
      </c>
      <c r="B27" s="21" t="s">
        <v>32</v>
      </c>
      <c r="C27" s="20" t="s">
        <v>41</v>
      </c>
      <c r="D27" s="20" t="s">
        <v>229</v>
      </c>
      <c r="E27" s="22" t="s">
        <v>382</v>
      </c>
      <c r="F27" s="23">
        <v>20</v>
      </c>
      <c r="G27" s="22"/>
    </row>
    <row r="28" spans="1:7" s="67" customFormat="1" ht="25.05" customHeight="1">
      <c r="A28" s="20">
        <v>25</v>
      </c>
      <c r="B28" s="21" t="s">
        <v>32</v>
      </c>
      <c r="C28" s="20" t="s">
        <v>41</v>
      </c>
      <c r="D28" s="20" t="s">
        <v>229</v>
      </c>
      <c r="E28" s="22" t="s">
        <v>383</v>
      </c>
      <c r="F28" s="23">
        <v>10</v>
      </c>
      <c r="G28" s="22"/>
    </row>
    <row r="29" spans="1:7" s="67" customFormat="1" ht="25.05" customHeight="1">
      <c r="A29" s="20">
        <v>26</v>
      </c>
      <c r="B29" s="21" t="s">
        <v>32</v>
      </c>
      <c r="C29" s="20" t="s">
        <v>41</v>
      </c>
      <c r="D29" s="20" t="s">
        <v>229</v>
      </c>
      <c r="E29" s="22" t="s">
        <v>384</v>
      </c>
      <c r="F29" s="23">
        <v>19</v>
      </c>
      <c r="G29" s="22"/>
    </row>
    <row r="30" spans="1:7" s="67" customFormat="1" ht="25.05" customHeight="1">
      <c r="A30" s="20">
        <v>27</v>
      </c>
      <c r="B30" s="21" t="s">
        <v>32</v>
      </c>
      <c r="C30" s="20" t="s">
        <v>41</v>
      </c>
      <c r="D30" s="20" t="s">
        <v>229</v>
      </c>
      <c r="E30" s="22" t="s">
        <v>385</v>
      </c>
      <c r="F30" s="23">
        <v>18</v>
      </c>
      <c r="G30" s="22"/>
    </row>
    <row r="31" spans="1:7" s="67" customFormat="1" ht="25.05" customHeight="1">
      <c r="A31" s="20">
        <v>28</v>
      </c>
      <c r="B31" s="21" t="s">
        <v>32</v>
      </c>
      <c r="C31" s="20" t="s">
        <v>41</v>
      </c>
      <c r="D31" s="20" t="s">
        <v>229</v>
      </c>
      <c r="E31" s="22" t="s">
        <v>386</v>
      </c>
      <c r="F31" s="23">
        <v>8</v>
      </c>
      <c r="G31" s="22"/>
    </row>
    <row r="32" spans="1:7" s="67" customFormat="1" ht="25.05" customHeight="1">
      <c r="A32" s="20">
        <v>29</v>
      </c>
      <c r="B32" s="21" t="s">
        <v>32</v>
      </c>
      <c r="C32" s="20" t="s">
        <v>41</v>
      </c>
      <c r="D32" s="17" t="s">
        <v>219</v>
      </c>
      <c r="E32" s="36" t="s">
        <v>238</v>
      </c>
      <c r="F32" s="37">
        <f>SUM(F23:F31)</f>
        <v>164</v>
      </c>
      <c r="G32" s="36"/>
    </row>
    <row r="33" spans="1:7" s="67" customFormat="1" ht="25.05" customHeight="1">
      <c r="A33" s="20">
        <v>30</v>
      </c>
      <c r="B33" s="21" t="s">
        <v>32</v>
      </c>
      <c r="C33" s="20" t="s">
        <v>41</v>
      </c>
      <c r="D33" s="20" t="s">
        <v>239</v>
      </c>
      <c r="E33" s="22" t="s">
        <v>240</v>
      </c>
      <c r="F33" s="23">
        <v>70</v>
      </c>
      <c r="G33" s="22"/>
    </row>
    <row r="34" spans="1:7" s="67" customFormat="1" ht="25.05" customHeight="1">
      <c r="A34" s="20">
        <v>31</v>
      </c>
      <c r="B34" s="21" t="s">
        <v>32</v>
      </c>
      <c r="C34" s="20" t="s">
        <v>41</v>
      </c>
      <c r="D34" s="20" t="s">
        <v>239</v>
      </c>
      <c r="E34" s="22" t="s">
        <v>241</v>
      </c>
      <c r="F34" s="23">
        <v>60</v>
      </c>
      <c r="G34" s="22"/>
    </row>
    <row r="35" spans="1:7" s="67" customFormat="1" ht="25.05" customHeight="1">
      <c r="A35" s="20">
        <v>32</v>
      </c>
      <c r="B35" s="21" t="s">
        <v>32</v>
      </c>
      <c r="C35" s="20" t="s">
        <v>41</v>
      </c>
      <c r="D35" s="17" t="s">
        <v>219</v>
      </c>
      <c r="E35" s="36" t="s">
        <v>242</v>
      </c>
      <c r="F35" s="37">
        <f>SUM(F33:F34)</f>
        <v>130</v>
      </c>
      <c r="G35" s="36"/>
    </row>
    <row r="36" spans="1:7" s="67" customFormat="1" ht="25.05" customHeight="1">
      <c r="A36" s="20">
        <v>33</v>
      </c>
      <c r="B36" s="21" t="s">
        <v>32</v>
      </c>
      <c r="C36" s="20" t="s">
        <v>41</v>
      </c>
      <c r="D36" s="69" t="s">
        <v>259</v>
      </c>
      <c r="E36" s="28" t="s">
        <v>348</v>
      </c>
      <c r="F36" s="51">
        <v>10</v>
      </c>
      <c r="G36" s="22"/>
    </row>
    <row r="37" spans="1:7" s="67" customFormat="1" ht="25.05" customHeight="1">
      <c r="A37" s="20">
        <v>34</v>
      </c>
      <c r="B37" s="21" t="s">
        <v>32</v>
      </c>
      <c r="C37" s="20" t="s">
        <v>41</v>
      </c>
      <c r="D37" s="17" t="s">
        <v>219</v>
      </c>
      <c r="E37" s="36" t="s">
        <v>261</v>
      </c>
      <c r="F37" s="37">
        <f>SUM(F36)</f>
        <v>10</v>
      </c>
      <c r="G37" s="36"/>
    </row>
    <row r="38" spans="1:7" s="67" customFormat="1" ht="25.05" customHeight="1">
      <c r="A38" s="20">
        <v>35</v>
      </c>
      <c r="B38" s="21" t="s">
        <v>32</v>
      </c>
      <c r="C38" s="20" t="s">
        <v>41</v>
      </c>
      <c r="D38" s="20" t="s">
        <v>243</v>
      </c>
      <c r="E38" s="22" t="s">
        <v>363</v>
      </c>
      <c r="F38" s="23">
        <v>7.8</v>
      </c>
      <c r="G38" s="22"/>
    </row>
    <row r="39" spans="1:7" s="67" customFormat="1" ht="25.05" customHeight="1">
      <c r="A39" s="20">
        <v>36</v>
      </c>
      <c r="B39" s="21" t="s">
        <v>32</v>
      </c>
      <c r="C39" s="20" t="s">
        <v>41</v>
      </c>
      <c r="D39" s="20" t="s">
        <v>243</v>
      </c>
      <c r="E39" s="22" t="s">
        <v>364</v>
      </c>
      <c r="F39" s="23">
        <v>7.8</v>
      </c>
      <c r="G39" s="22"/>
    </row>
    <row r="40" spans="1:7" s="67" customFormat="1" ht="25.05" customHeight="1">
      <c r="A40" s="20">
        <v>37</v>
      </c>
      <c r="B40" s="21" t="s">
        <v>32</v>
      </c>
      <c r="C40" s="20" t="s">
        <v>41</v>
      </c>
      <c r="D40" s="20" t="s">
        <v>243</v>
      </c>
      <c r="E40" s="22" t="s">
        <v>365</v>
      </c>
      <c r="F40" s="23">
        <v>11.88</v>
      </c>
      <c r="G40" s="22"/>
    </row>
    <row r="41" spans="1:7" s="67" customFormat="1" ht="25.05" customHeight="1">
      <c r="A41" s="20">
        <v>38</v>
      </c>
      <c r="B41" s="21" t="s">
        <v>32</v>
      </c>
      <c r="C41" s="20" t="s">
        <v>41</v>
      </c>
      <c r="D41" s="20" t="s">
        <v>243</v>
      </c>
      <c r="E41" s="22" t="s">
        <v>247</v>
      </c>
      <c r="F41" s="23">
        <v>2</v>
      </c>
      <c r="G41" s="22"/>
    </row>
    <row r="42" spans="1:7" s="67" customFormat="1" ht="25.05" customHeight="1">
      <c r="A42" s="20">
        <v>39</v>
      </c>
      <c r="B42" s="21" t="s">
        <v>32</v>
      </c>
      <c r="C42" s="20" t="s">
        <v>41</v>
      </c>
      <c r="D42" s="17" t="s">
        <v>219</v>
      </c>
      <c r="E42" s="36" t="s">
        <v>248</v>
      </c>
      <c r="F42" s="37">
        <f>SUM(F38:F41)</f>
        <v>29.48</v>
      </c>
      <c r="G42" s="36"/>
    </row>
    <row r="43" spans="1:7" s="67" customFormat="1" ht="25.05" customHeight="1">
      <c r="A43" s="20">
        <v>40</v>
      </c>
      <c r="B43" s="21" t="s">
        <v>32</v>
      </c>
      <c r="C43" s="20" t="s">
        <v>41</v>
      </c>
      <c r="D43" s="20" t="s">
        <v>249</v>
      </c>
      <c r="E43" s="22" t="s">
        <v>366</v>
      </c>
      <c r="F43" s="23">
        <v>10</v>
      </c>
      <c r="G43" s="22"/>
    </row>
    <row r="44" spans="1:7" s="67" customFormat="1" ht="25.05" customHeight="1">
      <c r="A44" s="20">
        <v>41</v>
      </c>
      <c r="B44" s="21" t="s">
        <v>32</v>
      </c>
      <c r="C44" s="20" t="s">
        <v>41</v>
      </c>
      <c r="D44" s="20" t="s">
        <v>249</v>
      </c>
      <c r="E44" s="22" t="s">
        <v>367</v>
      </c>
      <c r="F44" s="23">
        <v>10</v>
      </c>
      <c r="G44" s="22"/>
    </row>
    <row r="45" spans="1:7" s="67" customFormat="1" ht="25.05" customHeight="1">
      <c r="A45" s="20">
        <v>42</v>
      </c>
      <c r="B45" s="21" t="s">
        <v>32</v>
      </c>
      <c r="C45" s="20" t="s">
        <v>41</v>
      </c>
      <c r="D45" s="20" t="s">
        <v>249</v>
      </c>
      <c r="E45" s="22" t="s">
        <v>368</v>
      </c>
      <c r="F45" s="23">
        <v>45</v>
      </c>
      <c r="G45" s="22"/>
    </row>
    <row r="46" spans="1:7" s="67" customFormat="1" ht="25.05" customHeight="1">
      <c r="A46" s="20">
        <v>43</v>
      </c>
      <c r="B46" s="21" t="s">
        <v>32</v>
      </c>
      <c r="C46" s="20" t="s">
        <v>41</v>
      </c>
      <c r="D46" s="20" t="s">
        <v>249</v>
      </c>
      <c r="E46" s="22" t="s">
        <v>369</v>
      </c>
      <c r="F46" s="23">
        <v>10</v>
      </c>
      <c r="G46" s="22"/>
    </row>
    <row r="47" spans="1:7" s="67" customFormat="1" ht="25.05" customHeight="1">
      <c r="A47" s="20">
        <v>44</v>
      </c>
      <c r="B47" s="21" t="s">
        <v>32</v>
      </c>
      <c r="C47" s="20" t="s">
        <v>41</v>
      </c>
      <c r="D47" s="20" t="s">
        <v>249</v>
      </c>
      <c r="E47" s="22" t="s">
        <v>285</v>
      </c>
      <c r="F47" s="23">
        <v>5</v>
      </c>
      <c r="G47" s="22"/>
    </row>
    <row r="48" spans="1:7" s="67" customFormat="1" ht="25.05" customHeight="1">
      <c r="A48" s="20">
        <v>45</v>
      </c>
      <c r="B48" s="21" t="s">
        <v>32</v>
      </c>
      <c r="C48" s="20" t="s">
        <v>41</v>
      </c>
      <c r="D48" s="20" t="s">
        <v>249</v>
      </c>
      <c r="E48" s="22" t="s">
        <v>387</v>
      </c>
      <c r="F48" s="23">
        <v>10</v>
      </c>
      <c r="G48" s="22"/>
    </row>
    <row r="49" spans="1:7" s="67" customFormat="1" ht="25.05" customHeight="1">
      <c r="A49" s="20">
        <v>46</v>
      </c>
      <c r="B49" s="21" t="s">
        <v>32</v>
      </c>
      <c r="C49" s="20" t="s">
        <v>41</v>
      </c>
      <c r="D49" s="17" t="s">
        <v>219</v>
      </c>
      <c r="E49" s="36" t="s">
        <v>255</v>
      </c>
      <c r="F49" s="37">
        <f>SUM(F43:F48)</f>
        <v>90</v>
      </c>
      <c r="G49" s="36"/>
    </row>
    <row r="50" spans="1:7" s="67" customFormat="1" ht="25.05" customHeight="1">
      <c r="A50" s="20">
        <v>47</v>
      </c>
      <c r="B50" s="21" t="s">
        <v>32</v>
      </c>
      <c r="C50" s="20" t="s">
        <v>41</v>
      </c>
      <c r="D50" s="69" t="s">
        <v>256</v>
      </c>
      <c r="E50" s="28" t="s">
        <v>286</v>
      </c>
      <c r="F50" s="156">
        <v>10</v>
      </c>
      <c r="G50" s="22"/>
    </row>
    <row r="51" spans="1:7" s="67" customFormat="1" ht="25.05" customHeight="1">
      <c r="A51" s="20">
        <v>48</v>
      </c>
      <c r="B51" s="21" t="s">
        <v>32</v>
      </c>
      <c r="C51" s="20" t="s">
        <v>41</v>
      </c>
      <c r="D51" s="17" t="s">
        <v>219</v>
      </c>
      <c r="E51" s="36" t="s">
        <v>258</v>
      </c>
      <c r="F51" s="37">
        <f>SUM(F50)</f>
        <v>10</v>
      </c>
      <c r="G51" s="36"/>
    </row>
    <row r="52" spans="1:7" s="67" customFormat="1" ht="25.05" customHeight="1">
      <c r="A52" s="20">
        <v>49</v>
      </c>
      <c r="B52" s="21" t="s">
        <v>32</v>
      </c>
      <c r="C52" s="20" t="s">
        <v>41</v>
      </c>
      <c r="D52" s="20" t="s">
        <v>262</v>
      </c>
      <c r="E52" s="22" t="s">
        <v>263</v>
      </c>
      <c r="F52" s="23">
        <v>75</v>
      </c>
      <c r="G52" s="22"/>
    </row>
    <row r="53" spans="1:7" s="67" customFormat="1" ht="25.05" customHeight="1">
      <c r="A53" s="20">
        <v>50</v>
      </c>
      <c r="B53" s="21" t="s">
        <v>32</v>
      </c>
      <c r="C53" s="20" t="s">
        <v>41</v>
      </c>
      <c r="D53" s="20" t="s">
        <v>262</v>
      </c>
      <c r="E53" s="22" t="s">
        <v>316</v>
      </c>
      <c r="F53" s="23">
        <v>40</v>
      </c>
      <c r="G53" s="22"/>
    </row>
    <row r="54" spans="1:7" s="67" customFormat="1" ht="25.05" customHeight="1">
      <c r="A54" s="20">
        <v>51</v>
      </c>
      <c r="B54" s="21" t="s">
        <v>32</v>
      </c>
      <c r="C54" s="20" t="s">
        <v>41</v>
      </c>
      <c r="D54" s="20" t="s">
        <v>262</v>
      </c>
      <c r="E54" s="22" t="s">
        <v>265</v>
      </c>
      <c r="F54" s="23">
        <v>20</v>
      </c>
      <c r="G54" s="22"/>
    </row>
    <row r="55" spans="1:7" s="67" customFormat="1" ht="25.05" customHeight="1">
      <c r="A55" s="20">
        <v>52</v>
      </c>
      <c r="B55" s="21" t="s">
        <v>32</v>
      </c>
      <c r="C55" s="20" t="s">
        <v>41</v>
      </c>
      <c r="D55" s="17" t="s">
        <v>219</v>
      </c>
      <c r="E55" s="36" t="s">
        <v>266</v>
      </c>
      <c r="F55" s="37">
        <f>SUM(F52:F54)</f>
        <v>135</v>
      </c>
      <c r="G55" s="36"/>
    </row>
    <row r="56" spans="1:7" s="67" customFormat="1" ht="25.05" customHeight="1">
      <c r="A56" s="20">
        <v>53</v>
      </c>
      <c r="B56" s="21" t="s">
        <v>32</v>
      </c>
      <c r="C56" s="20" t="s">
        <v>41</v>
      </c>
      <c r="D56" s="17" t="s">
        <v>267</v>
      </c>
      <c r="E56" s="35" t="s">
        <v>388</v>
      </c>
      <c r="F56" s="61">
        <v>938</v>
      </c>
      <c r="G56" s="36"/>
    </row>
    <row r="57" spans="1:7" s="67" customFormat="1" ht="25.05" customHeight="1">
      <c r="A57" s="231" t="s">
        <v>357</v>
      </c>
      <c r="B57" s="232"/>
      <c r="C57" s="232"/>
      <c r="D57" s="232"/>
      <c r="E57" s="232"/>
      <c r="F57" s="232"/>
      <c r="G57" s="233"/>
    </row>
  </sheetData>
  <autoFilter ref="A3:G57" xr:uid="{00000000-0009-0000-0000-000009000000}"/>
  <mergeCells count="3">
    <mergeCell ref="A1:G1"/>
    <mergeCell ref="A2:G2"/>
    <mergeCell ref="A57:G57"/>
  </mergeCells>
  <phoneticPr fontId="23" type="noConversion"/>
  <pageMargins left="0.59055118110236204" right="0.196850393700787" top="0.31496062992126" bottom="0.511811023622047" header="0.31496062992126" footer="0.31496062992126"/>
  <pageSetup paperSize="9" orientation="portrait" r:id="rId1"/>
  <headerFooter>
    <oddFooter>&amp;C&amp;8第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9"/>
  <sheetViews>
    <sheetView view="pageBreakPreview" zoomScale="115" zoomScaleNormal="100" workbookViewId="0">
      <pane ySplit="3" topLeftCell="A53" activePane="bottomLeft" state="frozen"/>
      <selection pane="bottomLeft" activeCell="E63" sqref="E63"/>
    </sheetView>
  </sheetViews>
  <sheetFormatPr defaultColWidth="9" defaultRowHeight="15.75"/>
  <cols>
    <col min="1" max="1" width="3.73046875" style="128" customWidth="1"/>
    <col min="2" max="2" width="9.19921875" style="144" customWidth="1"/>
    <col min="3" max="3" width="14.06640625" style="128" customWidth="1"/>
    <col min="4" max="4" width="11.265625" style="128" customWidth="1"/>
    <col min="5" max="5" width="43.796875" style="128" customWidth="1"/>
    <col min="6" max="6" width="6.06640625" style="146" customWidth="1"/>
    <col min="7" max="7" width="7.9296875" style="128" customWidth="1"/>
    <col min="8" max="16384" width="9" style="129"/>
  </cols>
  <sheetData>
    <row r="1" spans="1:7" ht="25.05" customHeight="1">
      <c r="A1" s="223" t="s">
        <v>389</v>
      </c>
      <c r="B1" s="223"/>
      <c r="C1" s="223"/>
      <c r="D1" s="223"/>
      <c r="E1" s="223"/>
      <c r="F1" s="234"/>
      <c r="G1" s="234"/>
    </row>
    <row r="2" spans="1:7" ht="25.05" customHeight="1">
      <c r="A2" s="224" t="s">
        <v>390</v>
      </c>
      <c r="B2" s="224"/>
      <c r="C2" s="224"/>
      <c r="D2" s="224"/>
      <c r="E2" s="224"/>
      <c r="F2" s="224"/>
      <c r="G2" s="224"/>
    </row>
    <row r="3" spans="1:7" ht="25.05" customHeight="1">
      <c r="A3" s="130" t="s">
        <v>203</v>
      </c>
      <c r="B3" s="131" t="s">
        <v>204</v>
      </c>
      <c r="C3" s="130" t="s">
        <v>205</v>
      </c>
      <c r="D3" s="130" t="s">
        <v>206</v>
      </c>
      <c r="E3" s="130" t="s">
        <v>207</v>
      </c>
      <c r="F3" s="132" t="s">
        <v>208</v>
      </c>
      <c r="G3" s="132" t="s">
        <v>11</v>
      </c>
    </row>
    <row r="4" spans="1:7" ht="25.05" customHeight="1">
      <c r="A4" s="133">
        <v>1</v>
      </c>
      <c r="B4" s="134" t="s">
        <v>32</v>
      </c>
      <c r="C4" s="133" t="s">
        <v>43</v>
      </c>
      <c r="D4" s="133" t="s">
        <v>209</v>
      </c>
      <c r="E4" s="135" t="s">
        <v>210</v>
      </c>
      <c r="F4" s="141">
        <v>19</v>
      </c>
      <c r="G4" s="135"/>
    </row>
    <row r="5" spans="1:7" ht="25.05" customHeight="1">
      <c r="A5" s="133">
        <v>2</v>
      </c>
      <c r="B5" s="134" t="s">
        <v>32</v>
      </c>
      <c r="C5" s="133" t="s">
        <v>43</v>
      </c>
      <c r="D5" s="133" t="s">
        <v>209</v>
      </c>
      <c r="E5" s="135" t="s">
        <v>211</v>
      </c>
      <c r="F5" s="141">
        <v>15</v>
      </c>
      <c r="G5" s="135"/>
    </row>
    <row r="6" spans="1:7" ht="25.05" customHeight="1">
      <c r="A6" s="133">
        <v>3</v>
      </c>
      <c r="B6" s="134" t="s">
        <v>32</v>
      </c>
      <c r="C6" s="133" t="s">
        <v>43</v>
      </c>
      <c r="D6" s="133" t="s">
        <v>209</v>
      </c>
      <c r="E6" s="135" t="s">
        <v>212</v>
      </c>
      <c r="F6" s="141">
        <v>34</v>
      </c>
      <c r="G6" s="135"/>
    </row>
    <row r="7" spans="1:7" ht="25.05" customHeight="1">
      <c r="A7" s="133">
        <v>4</v>
      </c>
      <c r="B7" s="134" t="s">
        <v>32</v>
      </c>
      <c r="C7" s="133" t="s">
        <v>43</v>
      </c>
      <c r="D7" s="133" t="s">
        <v>209</v>
      </c>
      <c r="E7" s="135" t="s">
        <v>272</v>
      </c>
      <c r="F7" s="141">
        <v>34</v>
      </c>
      <c r="G7" s="135"/>
    </row>
    <row r="8" spans="1:7" ht="25.05" customHeight="1">
      <c r="A8" s="133">
        <v>5</v>
      </c>
      <c r="B8" s="134" t="s">
        <v>32</v>
      </c>
      <c r="C8" s="133" t="s">
        <v>43</v>
      </c>
      <c r="D8" s="133" t="s">
        <v>209</v>
      </c>
      <c r="E8" s="135" t="s">
        <v>214</v>
      </c>
      <c r="F8" s="141">
        <v>26</v>
      </c>
      <c r="G8" s="135"/>
    </row>
    <row r="9" spans="1:7" ht="25.05" customHeight="1">
      <c r="A9" s="133">
        <v>6</v>
      </c>
      <c r="B9" s="134" t="s">
        <v>32</v>
      </c>
      <c r="C9" s="133" t="s">
        <v>43</v>
      </c>
      <c r="D9" s="133" t="s">
        <v>209</v>
      </c>
      <c r="E9" s="135" t="s">
        <v>312</v>
      </c>
      <c r="F9" s="141">
        <v>10</v>
      </c>
      <c r="G9" s="135"/>
    </row>
    <row r="10" spans="1:7" ht="25.05" customHeight="1">
      <c r="A10" s="133">
        <v>7</v>
      </c>
      <c r="B10" s="134" t="s">
        <v>32</v>
      </c>
      <c r="C10" s="133" t="s">
        <v>43</v>
      </c>
      <c r="D10" s="133" t="s">
        <v>209</v>
      </c>
      <c r="E10" s="135" t="s">
        <v>216</v>
      </c>
      <c r="F10" s="141">
        <v>35</v>
      </c>
      <c r="G10" s="135"/>
    </row>
    <row r="11" spans="1:7" ht="25.05" customHeight="1">
      <c r="A11" s="133">
        <v>8</v>
      </c>
      <c r="B11" s="134" t="s">
        <v>32</v>
      </c>
      <c r="C11" s="133" t="s">
        <v>43</v>
      </c>
      <c r="D11" s="133" t="s">
        <v>209</v>
      </c>
      <c r="E11" s="135" t="s">
        <v>292</v>
      </c>
      <c r="F11" s="141">
        <v>12</v>
      </c>
      <c r="G11" s="135"/>
    </row>
    <row r="12" spans="1:7" ht="25.05" customHeight="1">
      <c r="A12" s="133">
        <v>9</v>
      </c>
      <c r="B12" s="134" t="s">
        <v>32</v>
      </c>
      <c r="C12" s="133" t="s">
        <v>43</v>
      </c>
      <c r="D12" s="133" t="s">
        <v>209</v>
      </c>
      <c r="E12" s="135" t="s">
        <v>217</v>
      </c>
      <c r="F12" s="141">
        <v>55</v>
      </c>
      <c r="G12" s="135"/>
    </row>
    <row r="13" spans="1:7" ht="25.05" customHeight="1">
      <c r="A13" s="133">
        <v>10</v>
      </c>
      <c r="B13" s="134" t="s">
        <v>32</v>
      </c>
      <c r="C13" s="133" t="s">
        <v>43</v>
      </c>
      <c r="D13" s="133" t="s">
        <v>209</v>
      </c>
      <c r="E13" s="135" t="s">
        <v>218</v>
      </c>
      <c r="F13" s="141">
        <v>10</v>
      </c>
      <c r="G13" s="135"/>
    </row>
    <row r="14" spans="1:7" ht="25.05" customHeight="1">
      <c r="A14" s="133">
        <v>11</v>
      </c>
      <c r="B14" s="134" t="s">
        <v>32</v>
      </c>
      <c r="C14" s="133" t="s">
        <v>43</v>
      </c>
      <c r="D14" s="130" t="s">
        <v>219</v>
      </c>
      <c r="E14" s="136" t="s">
        <v>220</v>
      </c>
      <c r="F14" s="147">
        <f>SUM(F4:F13)</f>
        <v>250</v>
      </c>
      <c r="G14" s="136"/>
    </row>
    <row r="15" spans="1:7" ht="25.05" customHeight="1">
      <c r="A15" s="133">
        <v>12</v>
      </c>
      <c r="B15" s="134" t="s">
        <v>32</v>
      </c>
      <c r="C15" s="133" t="s">
        <v>43</v>
      </c>
      <c r="D15" s="133" t="s">
        <v>221</v>
      </c>
      <c r="E15" s="135" t="s">
        <v>222</v>
      </c>
      <c r="F15" s="141">
        <v>14</v>
      </c>
      <c r="G15" s="135"/>
    </row>
    <row r="16" spans="1:7" ht="25.05" customHeight="1">
      <c r="A16" s="133">
        <v>13</v>
      </c>
      <c r="B16" s="134" t="s">
        <v>32</v>
      </c>
      <c r="C16" s="133" t="s">
        <v>43</v>
      </c>
      <c r="D16" s="133" t="s">
        <v>221</v>
      </c>
      <c r="E16" s="135" t="s">
        <v>223</v>
      </c>
      <c r="F16" s="141">
        <v>22</v>
      </c>
      <c r="G16" s="135"/>
    </row>
    <row r="17" spans="1:10" ht="25.05" customHeight="1">
      <c r="A17" s="133">
        <v>14</v>
      </c>
      <c r="B17" s="134" t="s">
        <v>32</v>
      </c>
      <c r="C17" s="133" t="s">
        <v>43</v>
      </c>
      <c r="D17" s="133" t="s">
        <v>221</v>
      </c>
      <c r="E17" s="135" t="s">
        <v>224</v>
      </c>
      <c r="F17" s="141">
        <v>9</v>
      </c>
      <c r="G17" s="135"/>
    </row>
    <row r="18" spans="1:10" ht="25.05" customHeight="1">
      <c r="A18" s="133">
        <v>15</v>
      </c>
      <c r="B18" s="134" t="s">
        <v>32</v>
      </c>
      <c r="C18" s="133" t="s">
        <v>43</v>
      </c>
      <c r="D18" s="133" t="s">
        <v>221</v>
      </c>
      <c r="E18" s="135" t="s">
        <v>225</v>
      </c>
      <c r="F18" s="141">
        <v>20</v>
      </c>
      <c r="G18" s="135"/>
    </row>
    <row r="19" spans="1:10" ht="25.05" customHeight="1">
      <c r="A19" s="133">
        <v>16</v>
      </c>
      <c r="B19" s="134" t="s">
        <v>32</v>
      </c>
      <c r="C19" s="133" t="s">
        <v>43</v>
      </c>
      <c r="D19" s="133" t="s">
        <v>221</v>
      </c>
      <c r="E19" s="135" t="s">
        <v>226</v>
      </c>
      <c r="F19" s="141">
        <v>22</v>
      </c>
      <c r="G19" s="135"/>
    </row>
    <row r="20" spans="1:10" ht="25.05" customHeight="1">
      <c r="A20" s="133">
        <v>17</v>
      </c>
      <c r="B20" s="134" t="s">
        <v>32</v>
      </c>
      <c r="C20" s="133" t="s">
        <v>43</v>
      </c>
      <c r="D20" s="133" t="s">
        <v>221</v>
      </c>
      <c r="E20" s="135" t="s">
        <v>391</v>
      </c>
      <c r="F20" s="141">
        <v>20</v>
      </c>
      <c r="G20" s="135"/>
    </row>
    <row r="21" spans="1:10" ht="25.05" customHeight="1">
      <c r="A21" s="133">
        <v>18</v>
      </c>
      <c r="B21" s="134" t="s">
        <v>32</v>
      </c>
      <c r="C21" s="133" t="s">
        <v>43</v>
      </c>
      <c r="D21" s="133" t="s">
        <v>221</v>
      </c>
      <c r="E21" s="135" t="s">
        <v>380</v>
      </c>
      <c r="F21" s="141">
        <v>12</v>
      </c>
      <c r="G21" s="135"/>
    </row>
    <row r="22" spans="1:10" ht="25.05" customHeight="1">
      <c r="A22" s="133">
        <v>19</v>
      </c>
      <c r="B22" s="134" t="s">
        <v>32</v>
      </c>
      <c r="C22" s="133" t="s">
        <v>43</v>
      </c>
      <c r="D22" s="130" t="s">
        <v>219</v>
      </c>
      <c r="E22" s="136" t="s">
        <v>228</v>
      </c>
      <c r="F22" s="148">
        <f>SUM(F15:F21)</f>
        <v>119</v>
      </c>
      <c r="G22" s="136"/>
    </row>
    <row r="23" spans="1:10" ht="25.05" customHeight="1">
      <c r="A23" s="133">
        <v>20</v>
      </c>
      <c r="B23" s="134" t="s">
        <v>32</v>
      </c>
      <c r="C23" s="133" t="s">
        <v>43</v>
      </c>
      <c r="D23" s="133" t="s">
        <v>229</v>
      </c>
      <c r="E23" s="135" t="s">
        <v>230</v>
      </c>
      <c r="F23" s="141">
        <v>14</v>
      </c>
      <c r="G23" s="135"/>
    </row>
    <row r="24" spans="1:10" ht="25.05" customHeight="1">
      <c r="A24" s="133">
        <v>21</v>
      </c>
      <c r="B24" s="134" t="s">
        <v>32</v>
      </c>
      <c r="C24" s="133" t="s">
        <v>43</v>
      </c>
      <c r="D24" s="133" t="s">
        <v>229</v>
      </c>
      <c r="E24" s="135" t="s">
        <v>231</v>
      </c>
      <c r="F24" s="141">
        <v>32</v>
      </c>
      <c r="G24" s="135"/>
    </row>
    <row r="25" spans="1:10" ht="25.05" customHeight="1">
      <c r="A25" s="133">
        <v>22</v>
      </c>
      <c r="B25" s="134" t="s">
        <v>32</v>
      </c>
      <c r="C25" s="133" t="s">
        <v>43</v>
      </c>
      <c r="D25" s="133" t="s">
        <v>229</v>
      </c>
      <c r="E25" s="135" t="s">
        <v>232</v>
      </c>
      <c r="F25" s="141">
        <v>18</v>
      </c>
      <c r="G25" s="135"/>
    </row>
    <row r="26" spans="1:10" ht="25.05" customHeight="1">
      <c r="A26" s="133">
        <v>23</v>
      </c>
      <c r="B26" s="134" t="s">
        <v>32</v>
      </c>
      <c r="C26" s="133" t="s">
        <v>43</v>
      </c>
      <c r="D26" s="133" t="s">
        <v>229</v>
      </c>
      <c r="E26" s="135" t="s">
        <v>233</v>
      </c>
      <c r="F26" s="141">
        <v>25</v>
      </c>
      <c r="G26" s="135"/>
    </row>
    <row r="27" spans="1:10" ht="25.05" customHeight="1">
      <c r="A27" s="133">
        <v>24</v>
      </c>
      <c r="B27" s="134" t="s">
        <v>32</v>
      </c>
      <c r="C27" s="133" t="s">
        <v>43</v>
      </c>
      <c r="D27" s="133" t="s">
        <v>229</v>
      </c>
      <c r="E27" s="135" t="s">
        <v>234</v>
      </c>
      <c r="F27" s="141">
        <v>19</v>
      </c>
      <c r="G27" s="135"/>
      <c r="J27" s="129">
        <v>5</v>
      </c>
    </row>
    <row r="28" spans="1:10" ht="25.05" customHeight="1">
      <c r="A28" s="133">
        <v>25</v>
      </c>
      <c r="B28" s="134" t="s">
        <v>32</v>
      </c>
      <c r="C28" s="133" t="s">
        <v>43</v>
      </c>
      <c r="D28" s="133" t="s">
        <v>229</v>
      </c>
      <c r="E28" s="135" t="s">
        <v>375</v>
      </c>
      <c r="F28" s="141">
        <v>12</v>
      </c>
      <c r="G28" s="135"/>
    </row>
    <row r="29" spans="1:10" ht="25.05" customHeight="1">
      <c r="A29" s="133">
        <v>26</v>
      </c>
      <c r="B29" s="134" t="s">
        <v>32</v>
      </c>
      <c r="C29" s="133" t="s">
        <v>43</v>
      </c>
      <c r="D29" s="133" t="s">
        <v>229</v>
      </c>
      <c r="E29" s="135" t="s">
        <v>235</v>
      </c>
      <c r="F29" s="141">
        <v>10</v>
      </c>
      <c r="G29" s="135"/>
    </row>
    <row r="30" spans="1:10" ht="25.05" customHeight="1">
      <c r="A30" s="133">
        <v>27</v>
      </c>
      <c r="B30" s="134" t="s">
        <v>32</v>
      </c>
      <c r="C30" s="133" t="s">
        <v>43</v>
      </c>
      <c r="D30" s="133" t="s">
        <v>229</v>
      </c>
      <c r="E30" s="135" t="s">
        <v>237</v>
      </c>
      <c r="F30" s="141">
        <v>8</v>
      </c>
      <c r="G30" s="135"/>
    </row>
    <row r="31" spans="1:10" ht="25.05" customHeight="1">
      <c r="A31" s="133">
        <v>28</v>
      </c>
      <c r="B31" s="134" t="s">
        <v>32</v>
      </c>
      <c r="C31" s="133" t="s">
        <v>43</v>
      </c>
      <c r="D31" s="133" t="s">
        <v>229</v>
      </c>
      <c r="E31" s="135" t="s">
        <v>385</v>
      </c>
      <c r="F31" s="141">
        <v>18</v>
      </c>
      <c r="G31" s="135"/>
    </row>
    <row r="32" spans="1:10" ht="25.05" customHeight="1">
      <c r="A32" s="133">
        <v>29</v>
      </c>
      <c r="B32" s="134" t="s">
        <v>32</v>
      </c>
      <c r="C32" s="133" t="s">
        <v>43</v>
      </c>
      <c r="D32" s="130" t="s">
        <v>219</v>
      </c>
      <c r="E32" s="136" t="s">
        <v>238</v>
      </c>
      <c r="F32" s="148">
        <f>SUM(F23:F31)</f>
        <v>156</v>
      </c>
      <c r="G32" s="136"/>
    </row>
    <row r="33" spans="1:7" ht="25.05" customHeight="1">
      <c r="A33" s="133">
        <v>30</v>
      </c>
      <c r="B33" s="134" t="s">
        <v>32</v>
      </c>
      <c r="C33" s="133" t="s">
        <v>43</v>
      </c>
      <c r="D33" s="133" t="s">
        <v>239</v>
      </c>
      <c r="E33" s="135" t="s">
        <v>240</v>
      </c>
      <c r="F33" s="141">
        <v>70</v>
      </c>
      <c r="G33" s="135"/>
    </row>
    <row r="34" spans="1:7" ht="25.05" customHeight="1">
      <c r="A34" s="133">
        <v>31</v>
      </c>
      <c r="B34" s="134" t="s">
        <v>32</v>
      </c>
      <c r="C34" s="133" t="s">
        <v>43</v>
      </c>
      <c r="D34" s="133" t="s">
        <v>239</v>
      </c>
      <c r="E34" s="135" t="s">
        <v>241</v>
      </c>
      <c r="F34" s="141">
        <v>60</v>
      </c>
      <c r="G34" s="135"/>
    </row>
    <row r="35" spans="1:7" ht="25.05" customHeight="1">
      <c r="A35" s="133">
        <v>32</v>
      </c>
      <c r="B35" s="134" t="s">
        <v>32</v>
      </c>
      <c r="C35" s="133" t="s">
        <v>43</v>
      </c>
      <c r="D35" s="130" t="s">
        <v>219</v>
      </c>
      <c r="E35" s="136" t="s">
        <v>242</v>
      </c>
      <c r="F35" s="147">
        <f>SUM(F33:F34)</f>
        <v>130</v>
      </c>
      <c r="G35" s="136"/>
    </row>
    <row r="36" spans="1:7" ht="25.05" customHeight="1">
      <c r="A36" s="133">
        <v>33</v>
      </c>
      <c r="B36" s="134" t="s">
        <v>32</v>
      </c>
      <c r="C36" s="133" t="s">
        <v>43</v>
      </c>
      <c r="D36" s="149" t="s">
        <v>259</v>
      </c>
      <c r="E36" s="138" t="s">
        <v>376</v>
      </c>
      <c r="F36" s="141">
        <v>20</v>
      </c>
      <c r="G36" s="135"/>
    </row>
    <row r="37" spans="1:7" ht="25.05" customHeight="1">
      <c r="A37" s="133">
        <v>34</v>
      </c>
      <c r="B37" s="134" t="s">
        <v>32</v>
      </c>
      <c r="C37" s="133" t="s">
        <v>43</v>
      </c>
      <c r="D37" s="133" t="s">
        <v>259</v>
      </c>
      <c r="E37" s="135" t="s">
        <v>276</v>
      </c>
      <c r="F37" s="150">
        <v>10</v>
      </c>
      <c r="G37" s="135"/>
    </row>
    <row r="38" spans="1:7" ht="25.05" customHeight="1">
      <c r="A38" s="133">
        <v>35</v>
      </c>
      <c r="B38" s="134" t="s">
        <v>32</v>
      </c>
      <c r="C38" s="133" t="s">
        <v>43</v>
      </c>
      <c r="D38" s="130" t="s">
        <v>219</v>
      </c>
      <c r="E38" s="136" t="s">
        <v>392</v>
      </c>
      <c r="F38" s="147">
        <f>SUM(F36:F37)</f>
        <v>30</v>
      </c>
      <c r="G38" s="136"/>
    </row>
    <row r="39" spans="1:7" ht="25.05" customHeight="1">
      <c r="A39" s="133">
        <v>36</v>
      </c>
      <c r="B39" s="134" t="s">
        <v>32</v>
      </c>
      <c r="C39" s="133" t="s">
        <v>43</v>
      </c>
      <c r="D39" s="133" t="s">
        <v>243</v>
      </c>
      <c r="E39" s="135" t="s">
        <v>277</v>
      </c>
      <c r="F39" s="141">
        <v>10.199999999999999</v>
      </c>
      <c r="G39" s="135"/>
    </row>
    <row r="40" spans="1:7" ht="25.05" customHeight="1">
      <c r="A40" s="133">
        <v>37</v>
      </c>
      <c r="B40" s="134" t="s">
        <v>32</v>
      </c>
      <c r="C40" s="133" t="s">
        <v>43</v>
      </c>
      <c r="D40" s="133" t="s">
        <v>243</v>
      </c>
      <c r="E40" s="135" t="s">
        <v>278</v>
      </c>
      <c r="F40" s="141">
        <v>10.199999999999999</v>
      </c>
      <c r="G40" s="135"/>
    </row>
    <row r="41" spans="1:7" ht="25.05" customHeight="1">
      <c r="A41" s="133">
        <v>38</v>
      </c>
      <c r="B41" s="134" t="s">
        <v>32</v>
      </c>
      <c r="C41" s="133" t="s">
        <v>43</v>
      </c>
      <c r="D41" s="133" t="s">
        <v>243</v>
      </c>
      <c r="E41" s="135" t="s">
        <v>279</v>
      </c>
      <c r="F41" s="141">
        <v>17.16</v>
      </c>
      <c r="G41" s="135"/>
    </row>
    <row r="42" spans="1:7" ht="25.05" customHeight="1">
      <c r="A42" s="133">
        <v>39</v>
      </c>
      <c r="B42" s="134" t="s">
        <v>32</v>
      </c>
      <c r="C42" s="133" t="s">
        <v>43</v>
      </c>
      <c r="D42" s="133" t="s">
        <v>243</v>
      </c>
      <c r="E42" s="135" t="s">
        <v>247</v>
      </c>
      <c r="F42" s="141">
        <v>2</v>
      </c>
      <c r="G42" s="135"/>
    </row>
    <row r="43" spans="1:7" ht="25.05" customHeight="1">
      <c r="A43" s="133">
        <v>40</v>
      </c>
      <c r="B43" s="134" t="s">
        <v>32</v>
      </c>
      <c r="C43" s="133" t="s">
        <v>43</v>
      </c>
      <c r="D43" s="130" t="s">
        <v>219</v>
      </c>
      <c r="E43" s="136" t="s">
        <v>248</v>
      </c>
      <c r="F43" s="147">
        <f>SUM(F39:F42)</f>
        <v>39.56</v>
      </c>
      <c r="G43" s="136"/>
    </row>
    <row r="44" spans="1:7" ht="25.05" customHeight="1">
      <c r="A44" s="133">
        <v>41</v>
      </c>
      <c r="B44" s="134" t="s">
        <v>32</v>
      </c>
      <c r="C44" s="133" t="s">
        <v>43</v>
      </c>
      <c r="D44" s="133" t="s">
        <v>249</v>
      </c>
      <c r="E44" s="135" t="s">
        <v>366</v>
      </c>
      <c r="F44" s="141">
        <v>10</v>
      </c>
      <c r="G44" s="135"/>
    </row>
    <row r="45" spans="1:7" ht="25.05" customHeight="1">
      <c r="A45" s="133">
        <v>42</v>
      </c>
      <c r="B45" s="134" t="s">
        <v>32</v>
      </c>
      <c r="C45" s="133" t="s">
        <v>43</v>
      </c>
      <c r="D45" s="133" t="s">
        <v>249</v>
      </c>
      <c r="E45" s="135" t="s">
        <v>367</v>
      </c>
      <c r="F45" s="141">
        <v>10</v>
      </c>
      <c r="G45" s="135"/>
    </row>
    <row r="46" spans="1:7" ht="25.05" customHeight="1">
      <c r="A46" s="133">
        <v>43</v>
      </c>
      <c r="B46" s="134" t="s">
        <v>32</v>
      </c>
      <c r="C46" s="133" t="s">
        <v>43</v>
      </c>
      <c r="D46" s="133" t="s">
        <v>249</v>
      </c>
      <c r="E46" s="135" t="s">
        <v>368</v>
      </c>
      <c r="F46" s="141">
        <v>45</v>
      </c>
      <c r="G46" s="135"/>
    </row>
    <row r="47" spans="1:7" ht="25.05" customHeight="1">
      <c r="A47" s="133">
        <v>44</v>
      </c>
      <c r="B47" s="134" t="s">
        <v>32</v>
      </c>
      <c r="C47" s="133" t="s">
        <v>43</v>
      </c>
      <c r="D47" s="133" t="s">
        <v>249</v>
      </c>
      <c r="E47" s="135" t="s">
        <v>369</v>
      </c>
      <c r="F47" s="141">
        <v>10</v>
      </c>
      <c r="G47" s="135"/>
    </row>
    <row r="48" spans="1:7" ht="25.05" customHeight="1">
      <c r="A48" s="133">
        <v>45</v>
      </c>
      <c r="B48" s="134" t="s">
        <v>32</v>
      </c>
      <c r="C48" s="133" t="s">
        <v>43</v>
      </c>
      <c r="D48" s="133" t="s">
        <v>249</v>
      </c>
      <c r="E48" s="135" t="s">
        <v>285</v>
      </c>
      <c r="F48" s="141">
        <v>5</v>
      </c>
      <c r="G48" s="135"/>
    </row>
    <row r="49" spans="1:7" s="125" customFormat="1" ht="25.05" customHeight="1">
      <c r="A49" s="133">
        <v>46</v>
      </c>
      <c r="B49" s="134" t="s">
        <v>32</v>
      </c>
      <c r="C49" s="133" t="s">
        <v>43</v>
      </c>
      <c r="D49" s="133" t="s">
        <v>249</v>
      </c>
      <c r="E49" s="135" t="s">
        <v>393</v>
      </c>
      <c r="F49" s="141">
        <v>30</v>
      </c>
      <c r="G49" s="135"/>
    </row>
    <row r="50" spans="1:7" s="125" customFormat="1" ht="25.05" customHeight="1">
      <c r="A50" s="133">
        <v>47</v>
      </c>
      <c r="B50" s="134" t="s">
        <v>32</v>
      </c>
      <c r="C50" s="133" t="s">
        <v>43</v>
      </c>
      <c r="D50" s="133" t="s">
        <v>249</v>
      </c>
      <c r="E50" s="135" t="s">
        <v>394</v>
      </c>
      <c r="F50" s="141">
        <v>20</v>
      </c>
      <c r="G50" s="135"/>
    </row>
    <row r="51" spans="1:7" ht="25.05" customHeight="1">
      <c r="A51" s="133">
        <v>48</v>
      </c>
      <c r="B51" s="134" t="s">
        <v>32</v>
      </c>
      <c r="C51" s="133" t="s">
        <v>43</v>
      </c>
      <c r="D51" s="130" t="s">
        <v>219</v>
      </c>
      <c r="E51" s="136" t="s">
        <v>255</v>
      </c>
      <c r="F51" s="147">
        <f>SUM(F44:F50)</f>
        <v>130</v>
      </c>
      <c r="G51" s="136"/>
    </row>
    <row r="52" spans="1:7" ht="25.05" customHeight="1">
      <c r="A52" s="133">
        <v>49</v>
      </c>
      <c r="B52" s="134" t="s">
        <v>32</v>
      </c>
      <c r="C52" s="133" t="s">
        <v>43</v>
      </c>
      <c r="D52" s="149" t="s">
        <v>256</v>
      </c>
      <c r="E52" s="138" t="s">
        <v>286</v>
      </c>
      <c r="F52" s="151">
        <v>10</v>
      </c>
      <c r="G52" s="135"/>
    </row>
    <row r="53" spans="1:7" ht="25.05" customHeight="1">
      <c r="A53" s="133">
        <v>50</v>
      </c>
      <c r="B53" s="134" t="s">
        <v>32</v>
      </c>
      <c r="C53" s="133" t="s">
        <v>43</v>
      </c>
      <c r="D53" s="130" t="s">
        <v>219</v>
      </c>
      <c r="E53" s="136" t="s">
        <v>258</v>
      </c>
      <c r="F53" s="147">
        <f>SUM(F52)</f>
        <v>10</v>
      </c>
      <c r="G53" s="136"/>
    </row>
    <row r="54" spans="1:7" ht="25.05" customHeight="1">
      <c r="A54" s="133">
        <v>51</v>
      </c>
      <c r="B54" s="134" t="s">
        <v>32</v>
      </c>
      <c r="C54" s="133" t="s">
        <v>43</v>
      </c>
      <c r="D54" s="133" t="s">
        <v>262</v>
      </c>
      <c r="E54" s="135" t="s">
        <v>263</v>
      </c>
      <c r="F54" s="141">
        <v>85</v>
      </c>
      <c r="G54" s="135"/>
    </row>
    <row r="55" spans="1:7" ht="25.05" customHeight="1">
      <c r="A55" s="133">
        <v>52</v>
      </c>
      <c r="B55" s="134" t="s">
        <v>32</v>
      </c>
      <c r="C55" s="133" t="s">
        <v>43</v>
      </c>
      <c r="D55" s="133" t="s">
        <v>262</v>
      </c>
      <c r="E55" s="135" t="s">
        <v>264</v>
      </c>
      <c r="F55" s="141">
        <v>40</v>
      </c>
      <c r="G55" s="135"/>
    </row>
    <row r="56" spans="1:7" ht="25.05" customHeight="1">
      <c r="A56" s="133">
        <v>53</v>
      </c>
      <c r="B56" s="134" t="s">
        <v>32</v>
      </c>
      <c r="C56" s="133" t="s">
        <v>43</v>
      </c>
      <c r="D56" s="133" t="s">
        <v>262</v>
      </c>
      <c r="E56" s="135" t="s">
        <v>265</v>
      </c>
      <c r="F56" s="141">
        <v>20</v>
      </c>
      <c r="G56" s="135"/>
    </row>
    <row r="57" spans="1:7" ht="25.05" customHeight="1">
      <c r="A57" s="133">
        <v>54</v>
      </c>
      <c r="B57" s="134" t="s">
        <v>32</v>
      </c>
      <c r="C57" s="133" t="s">
        <v>43</v>
      </c>
      <c r="D57" s="130" t="s">
        <v>219</v>
      </c>
      <c r="E57" s="136" t="s">
        <v>266</v>
      </c>
      <c r="F57" s="147">
        <f>SUM(F54:F56)</f>
        <v>145</v>
      </c>
      <c r="G57" s="136"/>
    </row>
    <row r="58" spans="1:7" ht="25.05" customHeight="1">
      <c r="A58" s="133">
        <v>55</v>
      </c>
      <c r="B58" s="134" t="s">
        <v>32</v>
      </c>
      <c r="C58" s="133" t="s">
        <v>43</v>
      </c>
      <c r="D58" s="130" t="s">
        <v>267</v>
      </c>
      <c r="E58" s="137" t="s">
        <v>395</v>
      </c>
      <c r="F58" s="148">
        <v>1010</v>
      </c>
      <c r="G58" s="136"/>
    </row>
    <row r="59" spans="1:7" ht="25.05" customHeight="1">
      <c r="A59" s="225" t="s">
        <v>396</v>
      </c>
      <c r="B59" s="226"/>
      <c r="C59" s="226"/>
      <c r="D59" s="226"/>
      <c r="E59" s="226"/>
      <c r="F59" s="226"/>
      <c r="G59" s="227"/>
    </row>
  </sheetData>
  <autoFilter ref="A3:G59" xr:uid="{00000000-0009-0000-0000-00000A000000}"/>
  <mergeCells count="3">
    <mergeCell ref="A1:G1"/>
    <mergeCell ref="A2:G2"/>
    <mergeCell ref="A59:G59"/>
  </mergeCells>
  <phoneticPr fontId="23" type="noConversion"/>
  <pageMargins left="0.59055118110236204" right="0.196850393700787" top="0.39370078740157499" bottom="0.5" header="0.39370078740157499" footer="0.31496062992126"/>
  <pageSetup paperSize="9" orientation="portrait" r:id="rId1"/>
  <headerFooter>
    <oddFooter>&amp;C&amp;8第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59"/>
  <sheetViews>
    <sheetView view="pageBreakPreview" zoomScale="130" zoomScaleNormal="100" workbookViewId="0">
      <pane ySplit="3" topLeftCell="A10" activePane="bottomLeft" state="frozen"/>
      <selection pane="bottomLeft" activeCell="E64" sqref="E64"/>
    </sheetView>
  </sheetViews>
  <sheetFormatPr defaultColWidth="9" defaultRowHeight="15.75"/>
  <cols>
    <col min="1" max="1" width="4.06640625" style="1" customWidth="1"/>
    <col min="2" max="2" width="10.265625" style="2" customWidth="1"/>
    <col min="3" max="3" width="13.73046875" style="1" customWidth="1"/>
    <col min="4" max="4" width="10.19921875" style="1" customWidth="1"/>
    <col min="5" max="5" width="43.73046875" style="1" customWidth="1"/>
    <col min="6" max="6" width="6.53125" style="1" customWidth="1"/>
    <col min="7" max="7" width="8" style="1" customWidth="1"/>
  </cols>
  <sheetData>
    <row r="1" spans="1:7" ht="25.05" customHeight="1">
      <c r="A1" s="215" t="s">
        <v>397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398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14</v>
      </c>
      <c r="C4" s="6" t="s">
        <v>399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14</v>
      </c>
      <c r="C5" s="6" t="s">
        <v>399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14</v>
      </c>
      <c r="C6" s="6" t="s">
        <v>399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14</v>
      </c>
      <c r="C7" s="6" t="s">
        <v>399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14</v>
      </c>
      <c r="C8" s="6" t="s">
        <v>399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14</v>
      </c>
      <c r="C9" s="6" t="s">
        <v>399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14</v>
      </c>
      <c r="C10" s="6" t="s">
        <v>399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14</v>
      </c>
      <c r="C11" s="6" t="s">
        <v>399</v>
      </c>
      <c r="D11" s="6" t="s">
        <v>209</v>
      </c>
      <c r="E11" s="8" t="s">
        <v>217</v>
      </c>
      <c r="F11" s="8">
        <v>55</v>
      </c>
      <c r="G11" s="8"/>
    </row>
    <row r="12" spans="1:7" ht="25.05" customHeight="1">
      <c r="A12" s="6">
        <v>9</v>
      </c>
      <c r="B12" s="7" t="s">
        <v>14</v>
      </c>
      <c r="C12" s="6" t="s">
        <v>399</v>
      </c>
      <c r="D12" s="6" t="s">
        <v>209</v>
      </c>
      <c r="E12" s="8" t="s">
        <v>400</v>
      </c>
      <c r="F12" s="8">
        <v>10</v>
      </c>
      <c r="G12" s="8"/>
    </row>
    <row r="13" spans="1:7" ht="25.05" customHeight="1">
      <c r="A13" s="6">
        <v>10</v>
      </c>
      <c r="B13" s="7" t="s">
        <v>14</v>
      </c>
      <c r="C13" s="6" t="s">
        <v>399</v>
      </c>
      <c r="D13" s="3" t="s">
        <v>219</v>
      </c>
      <c r="E13" s="75" t="s">
        <v>220</v>
      </c>
      <c r="F13" s="9">
        <f>SUM(F4:F12)</f>
        <v>243</v>
      </c>
      <c r="G13" s="9"/>
    </row>
    <row r="14" spans="1:7" ht="25.05" customHeight="1">
      <c r="A14" s="6">
        <v>11</v>
      </c>
      <c r="B14" s="7" t="s">
        <v>14</v>
      </c>
      <c r="C14" s="6" t="s">
        <v>399</v>
      </c>
      <c r="D14" s="6" t="s">
        <v>401</v>
      </c>
      <c r="E14" s="8" t="s">
        <v>402</v>
      </c>
      <c r="F14" s="8">
        <v>34</v>
      </c>
      <c r="G14" s="8"/>
    </row>
    <row r="15" spans="1:7" ht="25.05" customHeight="1">
      <c r="A15" s="6">
        <v>12</v>
      </c>
      <c r="B15" s="7" t="s">
        <v>14</v>
      </c>
      <c r="C15" s="6" t="s">
        <v>399</v>
      </c>
      <c r="D15" s="6" t="s">
        <v>401</v>
      </c>
      <c r="E15" s="8" t="s">
        <v>403</v>
      </c>
      <c r="F15" s="8">
        <v>34</v>
      </c>
      <c r="G15" s="8"/>
    </row>
    <row r="16" spans="1:7" ht="25.05" customHeight="1">
      <c r="A16" s="6">
        <v>13</v>
      </c>
      <c r="B16" s="7" t="s">
        <v>14</v>
      </c>
      <c r="C16" s="6" t="s">
        <v>399</v>
      </c>
      <c r="D16" s="6" t="s">
        <v>401</v>
      </c>
      <c r="E16" s="8" t="s">
        <v>404</v>
      </c>
      <c r="F16" s="8">
        <v>140</v>
      </c>
      <c r="G16" s="8"/>
    </row>
    <row r="17" spans="1:7" ht="25.05" customHeight="1">
      <c r="A17" s="6">
        <v>14</v>
      </c>
      <c r="B17" s="7" t="s">
        <v>14</v>
      </c>
      <c r="C17" s="6" t="s">
        <v>399</v>
      </c>
      <c r="D17" s="6" t="s">
        <v>401</v>
      </c>
      <c r="E17" s="8" t="s">
        <v>405</v>
      </c>
      <c r="F17" s="8">
        <v>60</v>
      </c>
      <c r="G17" s="8"/>
    </row>
    <row r="18" spans="1:7" ht="25.05" customHeight="1">
      <c r="A18" s="6">
        <v>15</v>
      </c>
      <c r="B18" s="7" t="s">
        <v>14</v>
      </c>
      <c r="C18" s="6" t="s">
        <v>399</v>
      </c>
      <c r="D18" s="6" t="s">
        <v>401</v>
      </c>
      <c r="E18" s="8" t="s">
        <v>406</v>
      </c>
      <c r="F18" s="8">
        <v>20</v>
      </c>
      <c r="G18" s="8"/>
    </row>
    <row r="19" spans="1:7" ht="25.05" customHeight="1">
      <c r="A19" s="6">
        <v>16</v>
      </c>
      <c r="B19" s="7" t="s">
        <v>14</v>
      </c>
      <c r="C19" s="6" t="s">
        <v>399</v>
      </c>
      <c r="D19" s="6" t="s">
        <v>401</v>
      </c>
      <c r="E19" s="8" t="s">
        <v>407</v>
      </c>
      <c r="F19" s="8">
        <v>200</v>
      </c>
      <c r="G19" s="8"/>
    </row>
    <row r="20" spans="1:7" ht="25.05" customHeight="1">
      <c r="A20" s="6">
        <v>17</v>
      </c>
      <c r="B20" s="7" t="s">
        <v>14</v>
      </c>
      <c r="C20" s="6" t="s">
        <v>399</v>
      </c>
      <c r="D20" s="6" t="s">
        <v>401</v>
      </c>
      <c r="E20" s="8" t="s">
        <v>408</v>
      </c>
      <c r="F20" s="8">
        <v>16</v>
      </c>
      <c r="G20" s="8"/>
    </row>
    <row r="21" spans="1:7" ht="25.05" customHeight="1">
      <c r="A21" s="6">
        <v>18</v>
      </c>
      <c r="B21" s="7" t="s">
        <v>14</v>
      </c>
      <c r="C21" s="6" t="s">
        <v>399</v>
      </c>
      <c r="D21" s="3" t="s">
        <v>219</v>
      </c>
      <c r="E21" s="75" t="s">
        <v>409</v>
      </c>
      <c r="F21" s="9">
        <f>SUM(F14:F20)</f>
        <v>504</v>
      </c>
      <c r="G21" s="9"/>
    </row>
    <row r="22" spans="1:7" ht="25.05" customHeight="1">
      <c r="A22" s="6">
        <v>19</v>
      </c>
      <c r="B22" s="7" t="s">
        <v>14</v>
      </c>
      <c r="C22" s="6" t="s">
        <v>399</v>
      </c>
      <c r="D22" s="6" t="s">
        <v>221</v>
      </c>
      <c r="E22" s="8" t="s">
        <v>222</v>
      </c>
      <c r="F22" s="8">
        <v>14</v>
      </c>
      <c r="G22" s="8"/>
    </row>
    <row r="23" spans="1:7" ht="25.05" customHeight="1">
      <c r="A23" s="6">
        <v>20</v>
      </c>
      <c r="B23" s="7" t="s">
        <v>14</v>
      </c>
      <c r="C23" s="6" t="s">
        <v>399</v>
      </c>
      <c r="D23" s="6" t="s">
        <v>221</v>
      </c>
      <c r="E23" s="8" t="s">
        <v>410</v>
      </c>
      <c r="F23" s="8">
        <v>42</v>
      </c>
      <c r="G23" s="8"/>
    </row>
    <row r="24" spans="1:7" ht="25.05" customHeight="1">
      <c r="A24" s="6">
        <v>21</v>
      </c>
      <c r="B24" s="7" t="s">
        <v>14</v>
      </c>
      <c r="C24" s="6" t="s">
        <v>399</v>
      </c>
      <c r="D24" s="6" t="s">
        <v>221</v>
      </c>
      <c r="E24" s="8" t="s">
        <v>224</v>
      </c>
      <c r="F24" s="8">
        <v>9</v>
      </c>
      <c r="G24" s="8"/>
    </row>
    <row r="25" spans="1:7" ht="25.05" customHeight="1">
      <c r="A25" s="6">
        <v>22</v>
      </c>
      <c r="B25" s="7" t="s">
        <v>14</v>
      </c>
      <c r="C25" s="6" t="s">
        <v>399</v>
      </c>
      <c r="D25" s="6" t="s">
        <v>221</v>
      </c>
      <c r="E25" s="8" t="s">
        <v>225</v>
      </c>
      <c r="F25" s="8">
        <v>20</v>
      </c>
      <c r="G25" s="8"/>
    </row>
    <row r="26" spans="1:7" ht="25.05" customHeight="1">
      <c r="A26" s="6">
        <v>23</v>
      </c>
      <c r="B26" s="7" t="s">
        <v>14</v>
      </c>
      <c r="C26" s="6" t="s">
        <v>399</v>
      </c>
      <c r="D26" s="6" t="s">
        <v>221</v>
      </c>
      <c r="E26" s="8" t="s">
        <v>226</v>
      </c>
      <c r="F26" s="8">
        <v>22</v>
      </c>
      <c r="G26" s="8"/>
    </row>
    <row r="27" spans="1:7" ht="25.05" customHeight="1">
      <c r="A27" s="6">
        <v>24</v>
      </c>
      <c r="B27" s="7" t="s">
        <v>14</v>
      </c>
      <c r="C27" s="6" t="s">
        <v>399</v>
      </c>
      <c r="D27" s="6" t="s">
        <v>221</v>
      </c>
      <c r="E27" s="8" t="s">
        <v>391</v>
      </c>
      <c r="F27" s="8">
        <v>20</v>
      </c>
      <c r="G27" s="8"/>
    </row>
    <row r="28" spans="1:7" ht="25.05" customHeight="1">
      <c r="A28" s="6">
        <v>25</v>
      </c>
      <c r="B28" s="7" t="s">
        <v>14</v>
      </c>
      <c r="C28" s="6" t="s">
        <v>399</v>
      </c>
      <c r="D28" s="3" t="s">
        <v>219</v>
      </c>
      <c r="E28" s="75" t="s">
        <v>228</v>
      </c>
      <c r="F28" s="10">
        <f>SUM(F22:F27)</f>
        <v>127</v>
      </c>
      <c r="G28" s="9"/>
    </row>
    <row r="29" spans="1:7" ht="25.05" customHeight="1">
      <c r="A29" s="6">
        <v>26</v>
      </c>
      <c r="B29" s="7" t="s">
        <v>14</v>
      </c>
      <c r="C29" s="6" t="s">
        <v>399</v>
      </c>
      <c r="D29" s="6" t="s">
        <v>229</v>
      </c>
      <c r="E29" s="8" t="s">
        <v>230</v>
      </c>
      <c r="F29" s="8">
        <v>14</v>
      </c>
      <c r="G29" s="8"/>
    </row>
    <row r="30" spans="1:7" ht="25.05" customHeight="1">
      <c r="A30" s="6">
        <v>27</v>
      </c>
      <c r="B30" s="7" t="s">
        <v>14</v>
      </c>
      <c r="C30" s="6" t="s">
        <v>399</v>
      </c>
      <c r="D30" s="6" t="s">
        <v>229</v>
      </c>
      <c r="E30" s="8" t="s">
        <v>411</v>
      </c>
      <c r="F30" s="8">
        <v>65</v>
      </c>
      <c r="G30" s="8"/>
    </row>
    <row r="31" spans="1:7" ht="25.05" customHeight="1">
      <c r="A31" s="6">
        <v>28</v>
      </c>
      <c r="B31" s="7" t="s">
        <v>14</v>
      </c>
      <c r="C31" s="6" t="s">
        <v>399</v>
      </c>
      <c r="D31" s="6" t="s">
        <v>229</v>
      </c>
      <c r="E31" s="8" t="s">
        <v>412</v>
      </c>
      <c r="F31" s="8">
        <v>40</v>
      </c>
      <c r="G31" s="8"/>
    </row>
    <row r="32" spans="1:7" ht="25.05" customHeight="1">
      <c r="A32" s="6">
        <v>29</v>
      </c>
      <c r="B32" s="7" t="s">
        <v>14</v>
      </c>
      <c r="C32" s="6" t="s">
        <v>399</v>
      </c>
      <c r="D32" s="6" t="s">
        <v>229</v>
      </c>
      <c r="E32" s="8" t="s">
        <v>413</v>
      </c>
      <c r="F32" s="8">
        <v>25</v>
      </c>
      <c r="G32" s="8"/>
    </row>
    <row r="33" spans="1:7" ht="25.05" customHeight="1">
      <c r="A33" s="6">
        <v>30</v>
      </c>
      <c r="B33" s="7" t="s">
        <v>14</v>
      </c>
      <c r="C33" s="6" t="s">
        <v>399</v>
      </c>
      <c r="D33" s="6" t="s">
        <v>229</v>
      </c>
      <c r="E33" s="8" t="s">
        <v>414</v>
      </c>
      <c r="F33" s="8">
        <v>30</v>
      </c>
      <c r="G33" s="8"/>
    </row>
    <row r="34" spans="1:7" ht="25.05" customHeight="1">
      <c r="A34" s="6">
        <v>31</v>
      </c>
      <c r="B34" s="7" t="s">
        <v>14</v>
      </c>
      <c r="C34" s="6" t="s">
        <v>399</v>
      </c>
      <c r="D34" s="6" t="s">
        <v>229</v>
      </c>
      <c r="E34" s="8" t="s">
        <v>415</v>
      </c>
      <c r="F34" s="8">
        <v>120</v>
      </c>
      <c r="G34" s="8"/>
    </row>
    <row r="35" spans="1:7" ht="25.05" customHeight="1">
      <c r="A35" s="6">
        <v>32</v>
      </c>
      <c r="B35" s="7" t="s">
        <v>14</v>
      </c>
      <c r="C35" s="6" t="s">
        <v>399</v>
      </c>
      <c r="D35" s="6" t="s">
        <v>229</v>
      </c>
      <c r="E35" s="8" t="s">
        <v>416</v>
      </c>
      <c r="F35" s="8">
        <v>8</v>
      </c>
      <c r="G35" s="8"/>
    </row>
    <row r="36" spans="1:7" ht="25.05" customHeight="1">
      <c r="A36" s="6">
        <v>33</v>
      </c>
      <c r="B36" s="7" t="s">
        <v>14</v>
      </c>
      <c r="C36" s="6" t="s">
        <v>399</v>
      </c>
      <c r="D36" s="6" t="s">
        <v>229</v>
      </c>
      <c r="E36" s="8" t="s">
        <v>417</v>
      </c>
      <c r="F36" s="8">
        <v>10</v>
      </c>
      <c r="G36" s="8"/>
    </row>
    <row r="37" spans="1:7" ht="25.05" customHeight="1">
      <c r="A37" s="6">
        <v>34</v>
      </c>
      <c r="B37" s="7" t="s">
        <v>14</v>
      </c>
      <c r="C37" s="6" t="s">
        <v>399</v>
      </c>
      <c r="D37" s="3" t="s">
        <v>219</v>
      </c>
      <c r="E37" s="9" t="s">
        <v>238</v>
      </c>
      <c r="F37" s="10">
        <f>SUM(F29:F36)</f>
        <v>312</v>
      </c>
      <c r="G37" s="9"/>
    </row>
    <row r="38" spans="1:7" ht="25.05" customHeight="1">
      <c r="A38" s="6">
        <v>35</v>
      </c>
      <c r="B38" s="7" t="s">
        <v>14</v>
      </c>
      <c r="C38" s="6" t="s">
        <v>399</v>
      </c>
      <c r="D38" s="6" t="s">
        <v>239</v>
      </c>
      <c r="E38" s="8" t="s">
        <v>240</v>
      </c>
      <c r="F38" s="8">
        <v>70</v>
      </c>
      <c r="G38" s="8"/>
    </row>
    <row r="39" spans="1:7" ht="25.05" customHeight="1">
      <c r="A39" s="6">
        <v>36</v>
      </c>
      <c r="B39" s="7" t="s">
        <v>14</v>
      </c>
      <c r="C39" s="6" t="s">
        <v>399</v>
      </c>
      <c r="D39" s="6" t="s">
        <v>239</v>
      </c>
      <c r="E39" s="8" t="s">
        <v>241</v>
      </c>
      <c r="F39" s="8">
        <v>60</v>
      </c>
      <c r="G39" s="8"/>
    </row>
    <row r="40" spans="1:7" ht="25.05" customHeight="1">
      <c r="A40" s="6">
        <v>37</v>
      </c>
      <c r="B40" s="7" t="s">
        <v>14</v>
      </c>
      <c r="C40" s="6" t="s">
        <v>399</v>
      </c>
      <c r="D40" s="3" t="s">
        <v>219</v>
      </c>
      <c r="E40" s="9" t="s">
        <v>242</v>
      </c>
      <c r="F40" s="9">
        <f>SUM(F38:F39)</f>
        <v>130</v>
      </c>
      <c r="G40" s="9"/>
    </row>
    <row r="41" spans="1:7" ht="25.05" customHeight="1">
      <c r="A41" s="6">
        <v>38</v>
      </c>
      <c r="B41" s="7" t="s">
        <v>14</v>
      </c>
      <c r="C41" s="6" t="s">
        <v>399</v>
      </c>
      <c r="D41" s="6" t="s">
        <v>259</v>
      </c>
      <c r="E41" s="11" t="s">
        <v>418</v>
      </c>
      <c r="F41" s="8">
        <v>500</v>
      </c>
      <c r="G41" s="8"/>
    </row>
    <row r="42" spans="1:7" ht="25.05" customHeight="1">
      <c r="A42" s="6">
        <v>39</v>
      </c>
      <c r="B42" s="7" t="s">
        <v>14</v>
      </c>
      <c r="C42" s="6" t="s">
        <v>399</v>
      </c>
      <c r="D42" s="6" t="s">
        <v>259</v>
      </c>
      <c r="E42" s="11" t="s">
        <v>419</v>
      </c>
      <c r="F42" s="8">
        <v>48</v>
      </c>
      <c r="G42" s="8"/>
    </row>
    <row r="43" spans="1:7" ht="25.05" customHeight="1">
      <c r="A43" s="6">
        <v>40</v>
      </c>
      <c r="B43" s="7" t="s">
        <v>14</v>
      </c>
      <c r="C43" s="6" t="s">
        <v>399</v>
      </c>
      <c r="D43" s="3" t="s">
        <v>219</v>
      </c>
      <c r="E43" s="9" t="s">
        <v>261</v>
      </c>
      <c r="F43" s="9">
        <f>SUM(F41:F42)</f>
        <v>548</v>
      </c>
      <c r="G43" s="9"/>
    </row>
    <row r="44" spans="1:7" ht="25.05" customHeight="1">
      <c r="A44" s="6">
        <v>41</v>
      </c>
      <c r="B44" s="7" t="s">
        <v>14</v>
      </c>
      <c r="C44" s="6" t="s">
        <v>399</v>
      </c>
      <c r="D44" s="6" t="s">
        <v>243</v>
      </c>
      <c r="E44" s="8" t="s">
        <v>420</v>
      </c>
      <c r="F44" s="8">
        <v>7.2</v>
      </c>
      <c r="G44" s="8"/>
    </row>
    <row r="45" spans="1:7" ht="25.05" customHeight="1">
      <c r="A45" s="6">
        <v>42</v>
      </c>
      <c r="B45" s="7" t="s">
        <v>14</v>
      </c>
      <c r="C45" s="6" t="s">
        <v>399</v>
      </c>
      <c r="D45" s="6" t="s">
        <v>243</v>
      </c>
      <c r="E45" s="8" t="s">
        <v>421</v>
      </c>
      <c r="F45" s="8">
        <v>7.2</v>
      </c>
      <c r="G45" s="8"/>
    </row>
    <row r="46" spans="1:7" ht="25.05" customHeight="1">
      <c r="A46" s="6">
        <v>43</v>
      </c>
      <c r="B46" s="7" t="s">
        <v>14</v>
      </c>
      <c r="C46" s="6" t="s">
        <v>399</v>
      </c>
      <c r="D46" s="6" t="s">
        <v>243</v>
      </c>
      <c r="E46" s="8" t="s">
        <v>422</v>
      </c>
      <c r="F46" s="8">
        <v>11.9</v>
      </c>
      <c r="G46" s="8"/>
    </row>
    <row r="47" spans="1:7" ht="25.05" customHeight="1">
      <c r="A47" s="6">
        <v>44</v>
      </c>
      <c r="B47" s="7" t="s">
        <v>14</v>
      </c>
      <c r="C47" s="6" t="s">
        <v>399</v>
      </c>
      <c r="D47" s="6" t="s">
        <v>243</v>
      </c>
      <c r="E47" s="8" t="s">
        <v>423</v>
      </c>
      <c r="F47" s="8">
        <v>2</v>
      </c>
      <c r="G47" s="8"/>
    </row>
    <row r="48" spans="1:7" ht="25.05" customHeight="1">
      <c r="A48" s="6">
        <v>45</v>
      </c>
      <c r="B48" s="7" t="s">
        <v>14</v>
      </c>
      <c r="C48" s="6" t="s">
        <v>399</v>
      </c>
      <c r="D48" s="3" t="s">
        <v>219</v>
      </c>
      <c r="E48" s="9" t="s">
        <v>248</v>
      </c>
      <c r="F48" s="9">
        <f>SUM(F44:F47)</f>
        <v>28.3</v>
      </c>
      <c r="G48" s="9"/>
    </row>
    <row r="49" spans="1:7" ht="25.05" customHeight="1">
      <c r="A49" s="6">
        <v>46</v>
      </c>
      <c r="B49" s="7" t="s">
        <v>14</v>
      </c>
      <c r="C49" s="6" t="s">
        <v>399</v>
      </c>
      <c r="D49" s="6" t="s">
        <v>249</v>
      </c>
      <c r="E49" s="8" t="s">
        <v>304</v>
      </c>
      <c r="F49" s="8">
        <v>7</v>
      </c>
      <c r="G49" s="8"/>
    </row>
    <row r="50" spans="1:7" ht="25.05" customHeight="1">
      <c r="A50" s="6">
        <v>47</v>
      </c>
      <c r="B50" s="7" t="s">
        <v>14</v>
      </c>
      <c r="C50" s="6" t="s">
        <v>399</v>
      </c>
      <c r="D50" s="6" t="s">
        <v>249</v>
      </c>
      <c r="E50" s="8" t="s">
        <v>251</v>
      </c>
      <c r="F50" s="8">
        <v>7</v>
      </c>
      <c r="G50" s="8"/>
    </row>
    <row r="51" spans="1:7" ht="25.05" customHeight="1">
      <c r="A51" s="6">
        <v>48</v>
      </c>
      <c r="B51" s="7" t="s">
        <v>14</v>
      </c>
      <c r="C51" s="6" t="s">
        <v>399</v>
      </c>
      <c r="D51" s="6" t="s">
        <v>249</v>
      </c>
      <c r="E51" s="8" t="s">
        <v>424</v>
      </c>
      <c r="F51" s="8">
        <v>31.5</v>
      </c>
      <c r="G51" s="8"/>
    </row>
    <row r="52" spans="1:7" ht="25.05" customHeight="1">
      <c r="A52" s="6">
        <v>49</v>
      </c>
      <c r="B52" s="7" t="s">
        <v>14</v>
      </c>
      <c r="C52" s="6" t="s">
        <v>399</v>
      </c>
      <c r="D52" s="6" t="s">
        <v>249</v>
      </c>
      <c r="E52" s="8" t="s">
        <v>253</v>
      </c>
      <c r="F52" s="8">
        <v>7</v>
      </c>
      <c r="G52" s="8"/>
    </row>
    <row r="53" spans="1:7" ht="25.05" customHeight="1">
      <c r="A53" s="6">
        <v>50</v>
      </c>
      <c r="B53" s="7" t="s">
        <v>14</v>
      </c>
      <c r="C53" s="6" t="s">
        <v>399</v>
      </c>
      <c r="D53" s="3" t="s">
        <v>219</v>
      </c>
      <c r="E53" s="9" t="s">
        <v>255</v>
      </c>
      <c r="F53" s="9">
        <f ca="1">SUM(F49:F58)</f>
        <v>52.5</v>
      </c>
      <c r="G53" s="9"/>
    </row>
    <row r="54" spans="1:7" ht="25.05" customHeight="1">
      <c r="A54" s="6">
        <v>51</v>
      </c>
      <c r="B54" s="7" t="s">
        <v>14</v>
      </c>
      <c r="C54" s="6" t="s">
        <v>399</v>
      </c>
      <c r="D54" s="6" t="s">
        <v>262</v>
      </c>
      <c r="E54" s="8" t="s">
        <v>425</v>
      </c>
      <c r="F54" s="8">
        <v>255</v>
      </c>
      <c r="G54" s="8"/>
    </row>
    <row r="55" spans="1:7" ht="25.05" customHeight="1">
      <c r="A55" s="6">
        <v>52</v>
      </c>
      <c r="B55" s="7" t="s">
        <v>14</v>
      </c>
      <c r="C55" s="6" t="s">
        <v>399</v>
      </c>
      <c r="D55" s="6" t="s">
        <v>262</v>
      </c>
      <c r="E55" s="8" t="s">
        <v>264</v>
      </c>
      <c r="F55" s="8">
        <v>40</v>
      </c>
      <c r="G55" s="8"/>
    </row>
    <row r="56" spans="1:7" ht="25.05" customHeight="1">
      <c r="A56" s="6">
        <v>53</v>
      </c>
      <c r="B56" s="7" t="s">
        <v>14</v>
      </c>
      <c r="C56" s="6" t="s">
        <v>399</v>
      </c>
      <c r="D56" s="6" t="s">
        <v>262</v>
      </c>
      <c r="E56" s="8" t="s">
        <v>265</v>
      </c>
      <c r="F56" s="8">
        <v>40</v>
      </c>
      <c r="G56" s="8"/>
    </row>
    <row r="57" spans="1:7" ht="25.05" customHeight="1">
      <c r="A57" s="6">
        <v>54</v>
      </c>
      <c r="B57" s="7" t="s">
        <v>14</v>
      </c>
      <c r="C57" s="6" t="s">
        <v>399</v>
      </c>
      <c r="D57" s="3" t="s">
        <v>219</v>
      </c>
      <c r="E57" s="9" t="s">
        <v>266</v>
      </c>
      <c r="F57" s="9">
        <f>SUM(F54:F56)</f>
        <v>335</v>
      </c>
      <c r="G57" s="9"/>
    </row>
    <row r="58" spans="1:7" ht="25.05" customHeight="1">
      <c r="A58" s="6">
        <v>55</v>
      </c>
      <c r="B58" s="7" t="s">
        <v>14</v>
      </c>
      <c r="C58" s="6" t="s">
        <v>399</v>
      </c>
      <c r="D58" s="3" t="s">
        <v>267</v>
      </c>
      <c r="E58" s="10" t="s">
        <v>426</v>
      </c>
      <c r="F58" s="10">
        <v>2280</v>
      </c>
      <c r="G58" s="9"/>
    </row>
    <row r="59" spans="1:7" ht="25.05" customHeight="1">
      <c r="A59" s="219" t="s">
        <v>427</v>
      </c>
      <c r="B59" s="219"/>
      <c r="C59" s="219"/>
      <c r="D59" s="219"/>
      <c r="E59" s="219"/>
      <c r="F59" s="219"/>
      <c r="G59" s="219"/>
    </row>
  </sheetData>
  <autoFilter ref="A3:G59" xr:uid="{00000000-0009-0000-0000-00000B000000}"/>
  <mergeCells count="3">
    <mergeCell ref="A1:G1"/>
    <mergeCell ref="A2:G2"/>
    <mergeCell ref="A59:G59"/>
  </mergeCells>
  <phoneticPr fontId="23" type="noConversion"/>
  <pageMargins left="0.59055118110236204" right="0.15748031496063" top="0.31496062992126" bottom="0.35433070866141703" header="0.31496062992126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60"/>
  <sheetViews>
    <sheetView view="pageBreakPreview" zoomScale="130" zoomScaleNormal="100" workbookViewId="0">
      <pane ySplit="3" topLeftCell="A39" activePane="bottomLeft" state="frozen"/>
      <selection pane="bottomLeft" activeCell="E43" sqref="E43"/>
    </sheetView>
  </sheetViews>
  <sheetFormatPr defaultColWidth="9" defaultRowHeight="15.75"/>
  <cols>
    <col min="1" max="1" width="4.06640625" style="1" customWidth="1"/>
    <col min="2" max="2" width="8.265625" style="2" customWidth="1"/>
    <col min="3" max="3" width="13.59765625" style="1" customWidth="1"/>
    <col min="4" max="4" width="11.265625" style="1" customWidth="1"/>
    <col min="5" max="5" width="43.59765625" style="1" customWidth="1"/>
    <col min="6" max="6" width="6.33203125" style="1" customWidth="1"/>
    <col min="7" max="7" width="7.46484375" style="1" customWidth="1"/>
  </cols>
  <sheetData>
    <row r="1" spans="1:7" ht="25.05" customHeight="1">
      <c r="A1" s="215" t="s">
        <v>428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429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48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23</v>
      </c>
      <c r="C5" s="6" t="s">
        <v>48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23</v>
      </c>
      <c r="C6" s="6" t="s">
        <v>48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23</v>
      </c>
      <c r="C7" s="6" t="s">
        <v>48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23</v>
      </c>
      <c r="C8" s="6" t="s">
        <v>48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23</v>
      </c>
      <c r="C9" s="6" t="s">
        <v>48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23</v>
      </c>
      <c r="C10" s="6" t="s">
        <v>48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23</v>
      </c>
      <c r="C11" s="6" t="s">
        <v>48</v>
      </c>
      <c r="D11" s="6" t="s">
        <v>209</v>
      </c>
      <c r="E11" s="8" t="s">
        <v>292</v>
      </c>
      <c r="F11" s="8">
        <v>18</v>
      </c>
      <c r="G11" s="8"/>
    </row>
    <row r="12" spans="1:7" ht="25.05" customHeight="1">
      <c r="A12" s="6">
        <v>9</v>
      </c>
      <c r="B12" s="7" t="s">
        <v>23</v>
      </c>
      <c r="C12" s="6" t="s">
        <v>48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23</v>
      </c>
      <c r="C13" s="6" t="s">
        <v>48</v>
      </c>
      <c r="D13" s="6" t="s">
        <v>209</v>
      </c>
      <c r="E13" s="8" t="s">
        <v>400</v>
      </c>
      <c r="F13" s="8">
        <v>10</v>
      </c>
      <c r="G13" s="8"/>
    </row>
    <row r="14" spans="1:7" ht="25.05" customHeight="1">
      <c r="A14" s="6">
        <v>11</v>
      </c>
      <c r="B14" s="7" t="s">
        <v>23</v>
      </c>
      <c r="C14" s="6" t="s">
        <v>48</v>
      </c>
      <c r="D14" s="3" t="s">
        <v>219</v>
      </c>
      <c r="E14" s="9" t="s">
        <v>220</v>
      </c>
      <c r="F14" s="9">
        <f>SUM(F4:F13)</f>
        <v>261</v>
      </c>
      <c r="G14" s="9"/>
    </row>
    <row r="15" spans="1:7" ht="25.05" customHeight="1">
      <c r="A15" s="6">
        <v>12</v>
      </c>
      <c r="B15" s="7" t="s">
        <v>23</v>
      </c>
      <c r="C15" s="6" t="s">
        <v>48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23</v>
      </c>
      <c r="C16" s="6" t="s">
        <v>48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23</v>
      </c>
      <c r="C17" s="6" t="s">
        <v>48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23</v>
      </c>
      <c r="C18" s="6" t="s">
        <v>48</v>
      </c>
      <c r="D18" s="6" t="s">
        <v>401</v>
      </c>
      <c r="E18" s="8" t="s">
        <v>405</v>
      </c>
      <c r="F18" s="8">
        <v>60</v>
      </c>
      <c r="G18" s="8"/>
    </row>
    <row r="19" spans="1:7" ht="25.05" customHeight="1">
      <c r="A19" s="6">
        <v>16</v>
      </c>
      <c r="B19" s="7" t="s">
        <v>23</v>
      </c>
      <c r="C19" s="6" t="s">
        <v>48</v>
      </c>
      <c r="D19" s="6" t="s">
        <v>401</v>
      </c>
      <c r="E19" s="8" t="s">
        <v>406</v>
      </c>
      <c r="F19" s="8">
        <v>20</v>
      </c>
      <c r="G19" s="8"/>
    </row>
    <row r="20" spans="1:7" ht="25.05" customHeight="1">
      <c r="A20" s="6">
        <v>17</v>
      </c>
      <c r="B20" s="7" t="s">
        <v>23</v>
      </c>
      <c r="C20" s="6" t="s">
        <v>48</v>
      </c>
      <c r="D20" s="6" t="s">
        <v>401</v>
      </c>
      <c r="E20" s="8" t="s">
        <v>407</v>
      </c>
      <c r="F20" s="8">
        <v>200</v>
      </c>
      <c r="G20" s="8"/>
    </row>
    <row r="21" spans="1:7" ht="25.05" customHeight="1">
      <c r="A21" s="6">
        <v>18</v>
      </c>
      <c r="B21" s="7" t="s">
        <v>23</v>
      </c>
      <c r="C21" s="6" t="s">
        <v>48</v>
      </c>
      <c r="D21" s="6" t="s">
        <v>401</v>
      </c>
      <c r="E21" s="8" t="s">
        <v>408</v>
      </c>
      <c r="F21" s="8">
        <v>16</v>
      </c>
      <c r="G21" s="8"/>
    </row>
    <row r="22" spans="1:7" ht="25.05" customHeight="1">
      <c r="A22" s="6">
        <v>19</v>
      </c>
      <c r="B22" s="7" t="s">
        <v>23</v>
      </c>
      <c r="C22" s="6" t="s">
        <v>48</v>
      </c>
      <c r="D22" s="3" t="s">
        <v>219</v>
      </c>
      <c r="E22" s="9" t="s">
        <v>409</v>
      </c>
      <c r="F22" s="9">
        <f>SUM(F15:F21)</f>
        <v>504</v>
      </c>
      <c r="G22" s="9"/>
    </row>
    <row r="23" spans="1:7" ht="25.05" customHeight="1">
      <c r="A23" s="6">
        <v>20</v>
      </c>
      <c r="B23" s="7" t="s">
        <v>23</v>
      </c>
      <c r="C23" s="6" t="s">
        <v>48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23</v>
      </c>
      <c r="C24" s="6" t="s">
        <v>48</v>
      </c>
      <c r="D24" s="6" t="s">
        <v>221</v>
      </c>
      <c r="E24" s="8" t="s">
        <v>223</v>
      </c>
      <c r="F24" s="8">
        <v>22</v>
      </c>
      <c r="G24" s="8"/>
    </row>
    <row r="25" spans="1:7" ht="25.05" customHeight="1">
      <c r="A25" s="6">
        <v>22</v>
      </c>
      <c r="B25" s="7" t="s">
        <v>23</v>
      </c>
      <c r="C25" s="6" t="s">
        <v>48</v>
      </c>
      <c r="D25" s="6" t="s">
        <v>221</v>
      </c>
      <c r="E25" s="8" t="s">
        <v>224</v>
      </c>
      <c r="F25" s="8">
        <v>9</v>
      </c>
      <c r="G25" s="8"/>
    </row>
    <row r="26" spans="1:7" ht="25.05" customHeight="1">
      <c r="A26" s="6">
        <v>23</v>
      </c>
      <c r="B26" s="7" t="s">
        <v>23</v>
      </c>
      <c r="C26" s="6" t="s">
        <v>48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23</v>
      </c>
      <c r="C27" s="6" t="s">
        <v>48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23</v>
      </c>
      <c r="C28" s="6" t="s">
        <v>48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23</v>
      </c>
      <c r="C29" s="6" t="s">
        <v>48</v>
      </c>
      <c r="D29" s="3" t="s">
        <v>219</v>
      </c>
      <c r="E29" s="9" t="s">
        <v>228</v>
      </c>
      <c r="F29" s="10">
        <f>SUM(F23:F28)</f>
        <v>107</v>
      </c>
      <c r="G29" s="9"/>
    </row>
    <row r="30" spans="1:7" ht="25.05" customHeight="1">
      <c r="A30" s="6">
        <v>27</v>
      </c>
      <c r="B30" s="7" t="s">
        <v>23</v>
      </c>
      <c r="C30" s="6" t="s">
        <v>48</v>
      </c>
      <c r="D30" s="6" t="s">
        <v>229</v>
      </c>
      <c r="E30" s="8" t="s">
        <v>230</v>
      </c>
      <c r="F30" s="8">
        <v>14</v>
      </c>
      <c r="G30" s="8"/>
    </row>
    <row r="31" spans="1:7" ht="25.05" customHeight="1">
      <c r="A31" s="6">
        <v>28</v>
      </c>
      <c r="B31" s="7" t="s">
        <v>23</v>
      </c>
      <c r="C31" s="6" t="s">
        <v>48</v>
      </c>
      <c r="D31" s="6" t="s">
        <v>229</v>
      </c>
      <c r="E31" s="8" t="s">
        <v>231</v>
      </c>
      <c r="F31" s="8">
        <v>45</v>
      </c>
      <c r="G31" s="8"/>
    </row>
    <row r="32" spans="1:7" ht="25.05" customHeight="1">
      <c r="A32" s="6">
        <v>29</v>
      </c>
      <c r="B32" s="7" t="s">
        <v>23</v>
      </c>
      <c r="C32" s="6" t="s">
        <v>48</v>
      </c>
      <c r="D32" s="6" t="s">
        <v>229</v>
      </c>
      <c r="E32" s="8" t="s">
        <v>412</v>
      </c>
      <c r="F32" s="8">
        <v>40</v>
      </c>
      <c r="G32" s="8"/>
    </row>
    <row r="33" spans="1:7" ht="25.05" customHeight="1">
      <c r="A33" s="6">
        <v>30</v>
      </c>
      <c r="B33" s="7" t="s">
        <v>23</v>
      </c>
      <c r="C33" s="6" t="s">
        <v>48</v>
      </c>
      <c r="D33" s="6" t="s">
        <v>229</v>
      </c>
      <c r="E33" s="8" t="s">
        <v>413</v>
      </c>
      <c r="F33" s="8">
        <v>25</v>
      </c>
      <c r="G33" s="8"/>
    </row>
    <row r="34" spans="1:7" ht="25.05" customHeight="1">
      <c r="A34" s="6">
        <v>31</v>
      </c>
      <c r="B34" s="7" t="s">
        <v>23</v>
      </c>
      <c r="C34" s="6" t="s">
        <v>48</v>
      </c>
      <c r="D34" s="6" t="s">
        <v>229</v>
      </c>
      <c r="E34" s="8" t="s">
        <v>414</v>
      </c>
      <c r="F34" s="8">
        <v>30</v>
      </c>
      <c r="G34" s="8"/>
    </row>
    <row r="35" spans="1:7" ht="25.05" customHeight="1">
      <c r="A35" s="6">
        <v>32</v>
      </c>
      <c r="B35" s="7" t="s">
        <v>23</v>
      </c>
      <c r="C35" s="6" t="s">
        <v>48</v>
      </c>
      <c r="D35" s="6" t="s">
        <v>229</v>
      </c>
      <c r="E35" s="8" t="s">
        <v>415</v>
      </c>
      <c r="F35" s="8">
        <v>120</v>
      </c>
      <c r="G35" s="8"/>
    </row>
    <row r="36" spans="1:7" ht="25.05" customHeight="1">
      <c r="A36" s="6">
        <v>33</v>
      </c>
      <c r="B36" s="7" t="s">
        <v>23</v>
      </c>
      <c r="C36" s="6" t="s">
        <v>48</v>
      </c>
      <c r="D36" s="6" t="s">
        <v>229</v>
      </c>
      <c r="E36" s="8" t="s">
        <v>416</v>
      </c>
      <c r="F36" s="8">
        <v>8</v>
      </c>
      <c r="G36" s="8"/>
    </row>
    <row r="37" spans="1:7" ht="25.05" customHeight="1">
      <c r="A37" s="6">
        <v>34</v>
      </c>
      <c r="B37" s="7" t="s">
        <v>23</v>
      </c>
      <c r="C37" s="6" t="s">
        <v>48</v>
      </c>
      <c r="D37" s="6" t="s">
        <v>229</v>
      </c>
      <c r="E37" s="8" t="s">
        <v>430</v>
      </c>
      <c r="F37" s="8">
        <v>10</v>
      </c>
      <c r="G37" s="8"/>
    </row>
    <row r="38" spans="1:7" ht="25.05" customHeight="1">
      <c r="A38" s="6">
        <v>35</v>
      </c>
      <c r="B38" s="7" t="s">
        <v>23</v>
      </c>
      <c r="C38" s="6" t="s">
        <v>48</v>
      </c>
      <c r="D38" s="6" t="s">
        <v>229</v>
      </c>
      <c r="E38" s="8" t="s">
        <v>431</v>
      </c>
      <c r="F38" s="8">
        <v>12</v>
      </c>
      <c r="G38" s="8"/>
    </row>
    <row r="39" spans="1:7" ht="25.05" customHeight="1">
      <c r="A39" s="6">
        <v>36</v>
      </c>
      <c r="B39" s="7" t="s">
        <v>23</v>
      </c>
      <c r="C39" s="6" t="s">
        <v>48</v>
      </c>
      <c r="D39" s="3" t="s">
        <v>219</v>
      </c>
      <c r="E39" s="9" t="s">
        <v>238</v>
      </c>
      <c r="F39" s="10">
        <f>SUM(F30:F38)</f>
        <v>304</v>
      </c>
      <c r="G39" s="9"/>
    </row>
    <row r="40" spans="1:7" ht="25.05" customHeight="1">
      <c r="A40" s="6">
        <v>37</v>
      </c>
      <c r="B40" s="7" t="s">
        <v>23</v>
      </c>
      <c r="C40" s="6" t="s">
        <v>48</v>
      </c>
      <c r="D40" s="6" t="s">
        <v>239</v>
      </c>
      <c r="E40" s="8" t="s">
        <v>240</v>
      </c>
      <c r="F40" s="8">
        <v>70</v>
      </c>
      <c r="G40" s="8"/>
    </row>
    <row r="41" spans="1:7" ht="25.05" customHeight="1">
      <c r="A41" s="6">
        <v>38</v>
      </c>
      <c r="B41" s="7" t="s">
        <v>23</v>
      </c>
      <c r="C41" s="6" t="s">
        <v>48</v>
      </c>
      <c r="D41" s="6" t="s">
        <v>239</v>
      </c>
      <c r="E41" s="8" t="s">
        <v>241</v>
      </c>
      <c r="F41" s="8">
        <v>60</v>
      </c>
      <c r="G41" s="8"/>
    </row>
    <row r="42" spans="1:7" ht="25.05" customHeight="1">
      <c r="A42" s="6">
        <v>39</v>
      </c>
      <c r="B42" s="7" t="s">
        <v>23</v>
      </c>
      <c r="C42" s="6" t="s">
        <v>48</v>
      </c>
      <c r="D42" s="3" t="s">
        <v>219</v>
      </c>
      <c r="E42" s="9" t="s">
        <v>242</v>
      </c>
      <c r="F42" s="9">
        <f>SUM(F40:F41)</f>
        <v>130</v>
      </c>
      <c r="G42" s="9"/>
    </row>
    <row r="43" spans="1:7" ht="25.05" customHeight="1">
      <c r="A43" s="6">
        <v>40</v>
      </c>
      <c r="B43" s="7" t="s">
        <v>23</v>
      </c>
      <c r="C43" s="6" t="s">
        <v>48</v>
      </c>
      <c r="D43" s="6" t="s">
        <v>259</v>
      </c>
      <c r="E43" s="11" t="s">
        <v>432</v>
      </c>
      <c r="F43" s="8">
        <v>45</v>
      </c>
      <c r="G43" s="8"/>
    </row>
    <row r="44" spans="1:7" ht="25.05" customHeight="1">
      <c r="A44" s="6">
        <v>41</v>
      </c>
      <c r="B44" s="7" t="s">
        <v>23</v>
      </c>
      <c r="C44" s="6" t="s">
        <v>48</v>
      </c>
      <c r="D44" s="3" t="s">
        <v>219</v>
      </c>
      <c r="E44" s="9" t="s">
        <v>261</v>
      </c>
      <c r="F44" s="9">
        <f>SUM(F43:F43)</f>
        <v>45</v>
      </c>
      <c r="G44" s="9"/>
    </row>
    <row r="45" spans="1:7" ht="25.05" customHeight="1">
      <c r="A45" s="6">
        <v>42</v>
      </c>
      <c r="B45" s="7" t="s">
        <v>23</v>
      </c>
      <c r="C45" s="6" t="s">
        <v>48</v>
      </c>
      <c r="D45" s="6" t="s">
        <v>243</v>
      </c>
      <c r="E45" s="8" t="s">
        <v>433</v>
      </c>
      <c r="F45" s="8">
        <v>7.8</v>
      </c>
      <c r="G45" s="8"/>
    </row>
    <row r="46" spans="1:7" ht="25.05" customHeight="1">
      <c r="A46" s="6">
        <v>43</v>
      </c>
      <c r="B46" s="7" t="s">
        <v>23</v>
      </c>
      <c r="C46" s="6" t="s">
        <v>48</v>
      </c>
      <c r="D46" s="6" t="s">
        <v>243</v>
      </c>
      <c r="E46" s="8" t="s">
        <v>434</v>
      </c>
      <c r="F46" s="8">
        <v>7.8</v>
      </c>
      <c r="G46" s="8"/>
    </row>
    <row r="47" spans="1:7" ht="25.05" customHeight="1">
      <c r="A47" s="6">
        <v>44</v>
      </c>
      <c r="B47" s="7" t="s">
        <v>23</v>
      </c>
      <c r="C47" s="6" t="s">
        <v>48</v>
      </c>
      <c r="D47" s="6" t="s">
        <v>243</v>
      </c>
      <c r="E47" s="8" t="s">
        <v>435</v>
      </c>
      <c r="F47" s="8">
        <v>14.5</v>
      </c>
      <c r="G47" s="8"/>
    </row>
    <row r="48" spans="1:7" ht="25.05" customHeight="1">
      <c r="A48" s="6">
        <v>45</v>
      </c>
      <c r="B48" s="7" t="s">
        <v>23</v>
      </c>
      <c r="C48" s="6" t="s">
        <v>48</v>
      </c>
      <c r="D48" s="6" t="s">
        <v>243</v>
      </c>
      <c r="E48" s="8" t="s">
        <v>423</v>
      </c>
      <c r="F48" s="8">
        <v>2</v>
      </c>
      <c r="G48" s="8"/>
    </row>
    <row r="49" spans="1:7" ht="25.05" customHeight="1">
      <c r="A49" s="6">
        <v>46</v>
      </c>
      <c r="B49" s="7" t="s">
        <v>23</v>
      </c>
      <c r="C49" s="6" t="s">
        <v>48</v>
      </c>
      <c r="D49" s="3" t="s">
        <v>219</v>
      </c>
      <c r="E49" s="9" t="s">
        <v>248</v>
      </c>
      <c r="F49" s="9">
        <f>SUM(F45:F48)</f>
        <v>32.1</v>
      </c>
      <c r="G49" s="9"/>
    </row>
    <row r="50" spans="1:7" ht="25.05" customHeight="1">
      <c r="A50" s="6">
        <v>47</v>
      </c>
      <c r="B50" s="7" t="s">
        <v>23</v>
      </c>
      <c r="C50" s="6" t="s">
        <v>48</v>
      </c>
      <c r="D50" s="6" t="s">
        <v>249</v>
      </c>
      <c r="E50" s="8" t="s">
        <v>304</v>
      </c>
      <c r="F50" s="8">
        <v>7</v>
      </c>
      <c r="G50" s="8"/>
    </row>
    <row r="51" spans="1:7" ht="25.05" customHeight="1">
      <c r="A51" s="6">
        <v>48</v>
      </c>
      <c r="B51" s="7" t="s">
        <v>23</v>
      </c>
      <c r="C51" s="6" t="s">
        <v>48</v>
      </c>
      <c r="D51" s="6" t="s">
        <v>249</v>
      </c>
      <c r="E51" s="8" t="s">
        <v>251</v>
      </c>
      <c r="F51" s="8">
        <v>7</v>
      </c>
      <c r="G51" s="8"/>
    </row>
    <row r="52" spans="1:7" ht="25.05" customHeight="1">
      <c r="A52" s="6">
        <v>49</v>
      </c>
      <c r="B52" s="7" t="s">
        <v>23</v>
      </c>
      <c r="C52" s="6" t="s">
        <v>48</v>
      </c>
      <c r="D52" s="6" t="s">
        <v>249</v>
      </c>
      <c r="E52" s="8" t="s">
        <v>424</v>
      </c>
      <c r="F52" s="8">
        <v>31.5</v>
      </c>
      <c r="G52" s="8"/>
    </row>
    <row r="53" spans="1:7" ht="25.05" customHeight="1">
      <c r="A53" s="6">
        <v>50</v>
      </c>
      <c r="B53" s="7" t="s">
        <v>23</v>
      </c>
      <c r="C53" s="6" t="s">
        <v>48</v>
      </c>
      <c r="D53" s="6" t="s">
        <v>249</v>
      </c>
      <c r="E53" s="8" t="s">
        <v>253</v>
      </c>
      <c r="F53" s="8">
        <v>7</v>
      </c>
      <c r="G53" s="8"/>
    </row>
    <row r="54" spans="1:7" ht="25.05" customHeight="1">
      <c r="A54" s="6">
        <v>51</v>
      </c>
      <c r="B54" s="7" t="s">
        <v>23</v>
      </c>
      <c r="C54" s="6" t="s">
        <v>48</v>
      </c>
      <c r="D54" s="3" t="s">
        <v>219</v>
      </c>
      <c r="E54" s="9" t="s">
        <v>255</v>
      </c>
      <c r="F54" s="9">
        <f ca="1">SUM(F50:F59)</f>
        <v>52.5</v>
      </c>
      <c r="G54" s="9"/>
    </row>
    <row r="55" spans="1:7" ht="25.05" customHeight="1">
      <c r="A55" s="6">
        <v>52</v>
      </c>
      <c r="B55" s="7" t="s">
        <v>23</v>
      </c>
      <c r="C55" s="6" t="s">
        <v>48</v>
      </c>
      <c r="D55" s="6" t="s">
        <v>262</v>
      </c>
      <c r="E55" s="8" t="s">
        <v>425</v>
      </c>
      <c r="F55" s="8">
        <v>255</v>
      </c>
      <c r="G55" s="8"/>
    </row>
    <row r="56" spans="1:7" ht="25.05" customHeight="1">
      <c r="A56" s="6">
        <v>53</v>
      </c>
      <c r="B56" s="7" t="s">
        <v>23</v>
      </c>
      <c r="C56" s="6" t="s">
        <v>48</v>
      </c>
      <c r="D56" s="6" t="s">
        <v>262</v>
      </c>
      <c r="E56" s="8" t="s">
        <v>264</v>
      </c>
      <c r="F56" s="8">
        <v>40</v>
      </c>
      <c r="G56" s="8"/>
    </row>
    <row r="57" spans="1:7" ht="25.05" customHeight="1">
      <c r="A57" s="6">
        <v>54</v>
      </c>
      <c r="B57" s="7" t="s">
        <v>23</v>
      </c>
      <c r="C57" s="6" t="s">
        <v>48</v>
      </c>
      <c r="D57" s="6" t="s">
        <v>262</v>
      </c>
      <c r="E57" s="8" t="s">
        <v>265</v>
      </c>
      <c r="F57" s="8">
        <v>40</v>
      </c>
      <c r="G57" s="8"/>
    </row>
    <row r="58" spans="1:7" ht="25.05" customHeight="1">
      <c r="A58" s="6">
        <v>55</v>
      </c>
      <c r="B58" s="7" t="s">
        <v>23</v>
      </c>
      <c r="C58" s="6" t="s">
        <v>48</v>
      </c>
      <c r="D58" s="3" t="s">
        <v>219</v>
      </c>
      <c r="E58" s="9" t="s">
        <v>266</v>
      </c>
      <c r="F58" s="9">
        <f>SUM(F55:F57)</f>
        <v>335</v>
      </c>
      <c r="G58" s="9"/>
    </row>
    <row r="59" spans="1:7" ht="25.05" customHeight="1">
      <c r="A59" s="6">
        <v>56</v>
      </c>
      <c r="B59" s="7" t="s">
        <v>23</v>
      </c>
      <c r="C59" s="6" t="s">
        <v>48</v>
      </c>
      <c r="D59" s="3" t="s">
        <v>267</v>
      </c>
      <c r="E59" s="10" t="s">
        <v>436</v>
      </c>
      <c r="F59" s="10">
        <v>1771</v>
      </c>
      <c r="G59" s="9"/>
    </row>
    <row r="60" spans="1:7" ht="25.05" customHeight="1">
      <c r="A60" s="220" t="s">
        <v>437</v>
      </c>
      <c r="B60" s="221"/>
      <c r="C60" s="221"/>
      <c r="D60" s="221"/>
      <c r="E60" s="221"/>
      <c r="F60" s="221"/>
      <c r="G60" s="222"/>
    </row>
  </sheetData>
  <autoFilter ref="A3:G60" xr:uid="{00000000-0009-0000-0000-00000C000000}"/>
  <mergeCells count="3">
    <mergeCell ref="A1:G1"/>
    <mergeCell ref="A2:G2"/>
    <mergeCell ref="A60:G60"/>
  </mergeCells>
  <phoneticPr fontId="23" type="noConversion"/>
  <pageMargins left="0.59055118110236204" right="0.23622047244094499" top="0.47244094488188998" bottom="0.511811023622047" header="0.43307086614173201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2"/>
  <sheetViews>
    <sheetView view="pageBreakPreview" zoomScale="115" zoomScaleNormal="100" workbookViewId="0">
      <pane ySplit="3" topLeftCell="A64" activePane="bottomLeft" state="frozen"/>
      <selection pane="bottomLeft" activeCell="E7" sqref="E7"/>
    </sheetView>
  </sheetViews>
  <sheetFormatPr defaultColWidth="9" defaultRowHeight="15.75"/>
  <cols>
    <col min="1" max="1" width="4.19921875" style="128" customWidth="1"/>
    <col min="2" max="2" width="8.9296875" style="144" customWidth="1"/>
    <col min="3" max="3" width="15.33203125" style="128" customWidth="1"/>
    <col min="4" max="4" width="11.06640625" style="128" customWidth="1"/>
    <col min="5" max="5" width="43.46484375" style="128" customWidth="1"/>
    <col min="6" max="6" width="6.53125" style="128" customWidth="1"/>
    <col min="7" max="7" width="7.06640625" style="128" customWidth="1"/>
    <col min="8" max="16384" width="9" style="129"/>
  </cols>
  <sheetData>
    <row r="1" spans="1:7" ht="25.05" customHeight="1">
      <c r="A1" s="223" t="s">
        <v>438</v>
      </c>
      <c r="B1" s="223"/>
      <c r="C1" s="223"/>
      <c r="D1" s="223"/>
      <c r="E1" s="223"/>
      <c r="F1" s="234"/>
      <c r="G1" s="234"/>
    </row>
    <row r="2" spans="1:7" ht="25.05" customHeight="1">
      <c r="A2" s="236" t="s">
        <v>439</v>
      </c>
      <c r="B2" s="236"/>
      <c r="C2" s="236"/>
      <c r="D2" s="236"/>
      <c r="E2" s="236"/>
      <c r="F2" s="236"/>
      <c r="G2" s="236"/>
    </row>
    <row r="3" spans="1:7" ht="25.05" customHeight="1">
      <c r="A3" s="130" t="s">
        <v>203</v>
      </c>
      <c r="B3" s="131" t="s">
        <v>204</v>
      </c>
      <c r="C3" s="130" t="s">
        <v>205</v>
      </c>
      <c r="D3" s="130" t="s">
        <v>206</v>
      </c>
      <c r="E3" s="130" t="s">
        <v>207</v>
      </c>
      <c r="F3" s="132" t="s">
        <v>208</v>
      </c>
      <c r="G3" s="132" t="s">
        <v>11</v>
      </c>
    </row>
    <row r="4" spans="1:7" ht="25.05" customHeight="1">
      <c r="A4" s="133">
        <v>1</v>
      </c>
      <c r="B4" s="134" t="s">
        <v>23</v>
      </c>
      <c r="C4" s="133" t="s">
        <v>440</v>
      </c>
      <c r="D4" s="133" t="s">
        <v>209</v>
      </c>
      <c r="E4" s="135" t="s">
        <v>210</v>
      </c>
      <c r="F4" s="135">
        <v>19</v>
      </c>
      <c r="G4" s="135"/>
    </row>
    <row r="5" spans="1:7" ht="25.05" customHeight="1">
      <c r="A5" s="133">
        <v>2</v>
      </c>
      <c r="B5" s="134" t="s">
        <v>23</v>
      </c>
      <c r="C5" s="133" t="s">
        <v>440</v>
      </c>
      <c r="D5" s="133" t="s">
        <v>209</v>
      </c>
      <c r="E5" s="135" t="s">
        <v>211</v>
      </c>
      <c r="F5" s="135">
        <v>15</v>
      </c>
      <c r="G5" s="135"/>
    </row>
    <row r="6" spans="1:7" ht="25.05" customHeight="1">
      <c r="A6" s="133">
        <v>3</v>
      </c>
      <c r="B6" s="134" t="s">
        <v>23</v>
      </c>
      <c r="C6" s="133" t="s">
        <v>440</v>
      </c>
      <c r="D6" s="133" t="s">
        <v>209</v>
      </c>
      <c r="E6" s="135" t="s">
        <v>212</v>
      </c>
      <c r="F6" s="135">
        <v>34</v>
      </c>
      <c r="G6" s="135"/>
    </row>
    <row r="7" spans="1:7" ht="25.05" customHeight="1">
      <c r="A7" s="133">
        <v>4</v>
      </c>
      <c r="B7" s="134" t="s">
        <v>23</v>
      </c>
      <c r="C7" s="133" t="s">
        <v>440</v>
      </c>
      <c r="D7" s="133" t="s">
        <v>209</v>
      </c>
      <c r="E7" s="135" t="s">
        <v>272</v>
      </c>
      <c r="F7" s="135">
        <v>34</v>
      </c>
      <c r="G7" s="135"/>
    </row>
    <row r="8" spans="1:7" ht="25.05" customHeight="1">
      <c r="A8" s="133">
        <v>5</v>
      </c>
      <c r="B8" s="134" t="s">
        <v>23</v>
      </c>
      <c r="C8" s="133" t="s">
        <v>440</v>
      </c>
      <c r="D8" s="133" t="s">
        <v>209</v>
      </c>
      <c r="E8" s="135" t="s">
        <v>214</v>
      </c>
      <c r="F8" s="135">
        <v>26</v>
      </c>
      <c r="G8" s="135"/>
    </row>
    <row r="9" spans="1:7" ht="25.05" customHeight="1">
      <c r="A9" s="133">
        <v>6</v>
      </c>
      <c r="B9" s="134" t="s">
        <v>23</v>
      </c>
      <c r="C9" s="133" t="s">
        <v>440</v>
      </c>
      <c r="D9" s="133" t="s">
        <v>209</v>
      </c>
      <c r="E9" s="135" t="s">
        <v>312</v>
      </c>
      <c r="F9" s="135">
        <v>10</v>
      </c>
      <c r="G9" s="135"/>
    </row>
    <row r="10" spans="1:7" ht="25.05" customHeight="1">
      <c r="A10" s="133">
        <v>7</v>
      </c>
      <c r="B10" s="134" t="s">
        <v>23</v>
      </c>
      <c r="C10" s="133" t="s">
        <v>440</v>
      </c>
      <c r="D10" s="133" t="s">
        <v>209</v>
      </c>
      <c r="E10" s="135" t="s">
        <v>216</v>
      </c>
      <c r="F10" s="135">
        <v>40</v>
      </c>
      <c r="G10" s="135"/>
    </row>
    <row r="11" spans="1:7" ht="25.05" customHeight="1">
      <c r="A11" s="133">
        <v>8</v>
      </c>
      <c r="B11" s="134" t="s">
        <v>23</v>
      </c>
      <c r="C11" s="133" t="s">
        <v>440</v>
      </c>
      <c r="D11" s="133" t="s">
        <v>209</v>
      </c>
      <c r="E11" s="135" t="s">
        <v>292</v>
      </c>
      <c r="F11" s="135">
        <v>18</v>
      </c>
      <c r="G11" s="135"/>
    </row>
    <row r="12" spans="1:7" ht="25.05" customHeight="1">
      <c r="A12" s="133">
        <v>9</v>
      </c>
      <c r="B12" s="134" t="s">
        <v>23</v>
      </c>
      <c r="C12" s="133" t="s">
        <v>440</v>
      </c>
      <c r="D12" s="133" t="s">
        <v>209</v>
      </c>
      <c r="E12" s="135" t="s">
        <v>217</v>
      </c>
      <c r="F12" s="135">
        <v>55</v>
      </c>
      <c r="G12" s="135"/>
    </row>
    <row r="13" spans="1:7" ht="25.05" customHeight="1">
      <c r="A13" s="133">
        <v>10</v>
      </c>
      <c r="B13" s="134" t="s">
        <v>23</v>
      </c>
      <c r="C13" s="133" t="s">
        <v>440</v>
      </c>
      <c r="D13" s="133" t="s">
        <v>209</v>
      </c>
      <c r="E13" s="135" t="s">
        <v>400</v>
      </c>
      <c r="F13" s="135">
        <v>10</v>
      </c>
      <c r="G13" s="135"/>
    </row>
    <row r="14" spans="1:7" ht="25.05" customHeight="1">
      <c r="A14" s="133">
        <v>11</v>
      </c>
      <c r="B14" s="134" t="s">
        <v>23</v>
      </c>
      <c r="C14" s="133" t="s">
        <v>440</v>
      </c>
      <c r="D14" s="130" t="s">
        <v>219</v>
      </c>
      <c r="E14" s="136" t="s">
        <v>220</v>
      </c>
      <c r="F14" s="136">
        <f>SUM(F4:F13)</f>
        <v>261</v>
      </c>
      <c r="G14" s="136"/>
    </row>
    <row r="15" spans="1:7" ht="25.05" customHeight="1">
      <c r="A15" s="133">
        <v>12</v>
      </c>
      <c r="B15" s="134" t="s">
        <v>23</v>
      </c>
      <c r="C15" s="133" t="s">
        <v>440</v>
      </c>
      <c r="D15" s="133" t="s">
        <v>401</v>
      </c>
      <c r="E15" s="135" t="s">
        <v>402</v>
      </c>
      <c r="F15" s="135">
        <v>34</v>
      </c>
      <c r="G15" s="135"/>
    </row>
    <row r="16" spans="1:7" ht="25.05" customHeight="1">
      <c r="A16" s="133">
        <v>13</v>
      </c>
      <c r="B16" s="134" t="s">
        <v>23</v>
      </c>
      <c r="C16" s="133" t="s">
        <v>440</v>
      </c>
      <c r="D16" s="133" t="s">
        <v>401</v>
      </c>
      <c r="E16" s="135" t="s">
        <v>403</v>
      </c>
      <c r="F16" s="135">
        <v>34</v>
      </c>
      <c r="G16" s="135"/>
    </row>
    <row r="17" spans="1:7" ht="25.05" customHeight="1">
      <c r="A17" s="133">
        <v>14</v>
      </c>
      <c r="B17" s="134" t="s">
        <v>23</v>
      </c>
      <c r="C17" s="133" t="s">
        <v>440</v>
      </c>
      <c r="D17" s="133" t="s">
        <v>401</v>
      </c>
      <c r="E17" s="135" t="s">
        <v>404</v>
      </c>
      <c r="F17" s="135">
        <v>140</v>
      </c>
      <c r="G17" s="135"/>
    </row>
    <row r="18" spans="1:7" ht="25.05" customHeight="1">
      <c r="A18" s="133">
        <v>15</v>
      </c>
      <c r="B18" s="134" t="s">
        <v>23</v>
      </c>
      <c r="C18" s="133" t="s">
        <v>440</v>
      </c>
      <c r="D18" s="133" t="s">
        <v>401</v>
      </c>
      <c r="E18" s="135" t="s">
        <v>405</v>
      </c>
      <c r="F18" s="135">
        <v>60</v>
      </c>
      <c r="G18" s="135"/>
    </row>
    <row r="19" spans="1:7" ht="25.05" customHeight="1">
      <c r="A19" s="133">
        <v>16</v>
      </c>
      <c r="B19" s="134" t="s">
        <v>23</v>
      </c>
      <c r="C19" s="133" t="s">
        <v>440</v>
      </c>
      <c r="D19" s="133" t="s">
        <v>401</v>
      </c>
      <c r="E19" s="135" t="s">
        <v>406</v>
      </c>
      <c r="F19" s="135">
        <v>20</v>
      </c>
      <c r="G19" s="135"/>
    </row>
    <row r="20" spans="1:7" ht="25.05" customHeight="1">
      <c r="A20" s="133">
        <v>17</v>
      </c>
      <c r="B20" s="134" t="s">
        <v>23</v>
      </c>
      <c r="C20" s="133" t="s">
        <v>440</v>
      </c>
      <c r="D20" s="133" t="s">
        <v>401</v>
      </c>
      <c r="E20" s="135" t="s">
        <v>407</v>
      </c>
      <c r="F20" s="135">
        <v>200</v>
      </c>
      <c r="G20" s="135"/>
    </row>
    <row r="21" spans="1:7" ht="25.05" customHeight="1">
      <c r="A21" s="133">
        <v>18</v>
      </c>
      <c r="B21" s="134" t="s">
        <v>23</v>
      </c>
      <c r="C21" s="133" t="s">
        <v>440</v>
      </c>
      <c r="D21" s="133" t="s">
        <v>401</v>
      </c>
      <c r="E21" s="135" t="s">
        <v>408</v>
      </c>
      <c r="F21" s="135">
        <v>16</v>
      </c>
      <c r="G21" s="135"/>
    </row>
    <row r="22" spans="1:7" ht="25.05" customHeight="1">
      <c r="A22" s="133">
        <v>19</v>
      </c>
      <c r="B22" s="134" t="s">
        <v>23</v>
      </c>
      <c r="C22" s="133" t="s">
        <v>440</v>
      </c>
      <c r="D22" s="130" t="s">
        <v>219</v>
      </c>
      <c r="E22" s="136" t="s">
        <v>409</v>
      </c>
      <c r="F22" s="136">
        <f>SUM(F15:F21)</f>
        <v>504</v>
      </c>
      <c r="G22" s="136"/>
    </row>
    <row r="23" spans="1:7" ht="25.05" customHeight="1">
      <c r="A23" s="133">
        <v>20</v>
      </c>
      <c r="B23" s="134" t="s">
        <v>23</v>
      </c>
      <c r="C23" s="133" t="s">
        <v>440</v>
      </c>
      <c r="D23" s="133" t="s">
        <v>221</v>
      </c>
      <c r="E23" s="135" t="s">
        <v>222</v>
      </c>
      <c r="F23" s="135">
        <v>14</v>
      </c>
      <c r="G23" s="135"/>
    </row>
    <row r="24" spans="1:7" ht="25.05" customHeight="1">
      <c r="A24" s="133">
        <v>21</v>
      </c>
      <c r="B24" s="134" t="s">
        <v>23</v>
      </c>
      <c r="C24" s="133" t="s">
        <v>440</v>
      </c>
      <c r="D24" s="133" t="s">
        <v>221</v>
      </c>
      <c r="E24" s="135" t="s">
        <v>223</v>
      </c>
      <c r="F24" s="135">
        <v>22</v>
      </c>
      <c r="G24" s="135"/>
    </row>
    <row r="25" spans="1:7" ht="25.05" customHeight="1">
      <c r="A25" s="133">
        <v>22</v>
      </c>
      <c r="B25" s="134" t="s">
        <v>23</v>
      </c>
      <c r="C25" s="133" t="s">
        <v>440</v>
      </c>
      <c r="D25" s="133" t="s">
        <v>221</v>
      </c>
      <c r="E25" s="135" t="s">
        <v>224</v>
      </c>
      <c r="F25" s="135">
        <v>9</v>
      </c>
      <c r="G25" s="135"/>
    </row>
    <row r="26" spans="1:7" ht="25.05" customHeight="1">
      <c r="A26" s="133">
        <v>23</v>
      </c>
      <c r="B26" s="134" t="s">
        <v>23</v>
      </c>
      <c r="C26" s="133" t="s">
        <v>440</v>
      </c>
      <c r="D26" s="133" t="s">
        <v>221</v>
      </c>
      <c r="E26" s="135" t="s">
        <v>225</v>
      </c>
      <c r="F26" s="135">
        <v>20</v>
      </c>
      <c r="G26" s="135"/>
    </row>
    <row r="27" spans="1:7" ht="25.05" customHeight="1">
      <c r="A27" s="133">
        <v>24</v>
      </c>
      <c r="B27" s="134" t="s">
        <v>23</v>
      </c>
      <c r="C27" s="133" t="s">
        <v>440</v>
      </c>
      <c r="D27" s="133" t="s">
        <v>221</v>
      </c>
      <c r="E27" s="135" t="s">
        <v>226</v>
      </c>
      <c r="F27" s="135">
        <v>22</v>
      </c>
      <c r="G27" s="135"/>
    </row>
    <row r="28" spans="1:7" ht="25.05" customHeight="1">
      <c r="A28" s="133">
        <v>25</v>
      </c>
      <c r="B28" s="134" t="s">
        <v>23</v>
      </c>
      <c r="C28" s="133" t="s">
        <v>440</v>
      </c>
      <c r="D28" s="133" t="s">
        <v>221</v>
      </c>
      <c r="E28" s="135" t="s">
        <v>391</v>
      </c>
      <c r="F28" s="135">
        <v>20</v>
      </c>
      <c r="G28" s="135"/>
    </row>
    <row r="29" spans="1:7" ht="25.05" customHeight="1">
      <c r="A29" s="133">
        <v>26</v>
      </c>
      <c r="B29" s="134" t="s">
        <v>23</v>
      </c>
      <c r="C29" s="133" t="s">
        <v>440</v>
      </c>
      <c r="D29" s="130" t="s">
        <v>219</v>
      </c>
      <c r="E29" s="136" t="s">
        <v>228</v>
      </c>
      <c r="F29" s="137">
        <f>SUM(F23:F28)</f>
        <v>107</v>
      </c>
      <c r="G29" s="136"/>
    </row>
    <row r="30" spans="1:7" ht="25.05" customHeight="1">
      <c r="A30" s="133">
        <v>27</v>
      </c>
      <c r="B30" s="134" t="s">
        <v>23</v>
      </c>
      <c r="C30" s="133" t="s">
        <v>440</v>
      </c>
      <c r="D30" s="133" t="s">
        <v>229</v>
      </c>
      <c r="E30" s="135" t="s">
        <v>230</v>
      </c>
      <c r="F30" s="135">
        <v>14</v>
      </c>
      <c r="G30" s="135"/>
    </row>
    <row r="31" spans="1:7" ht="25.05" customHeight="1">
      <c r="A31" s="133">
        <v>28</v>
      </c>
      <c r="B31" s="134" t="s">
        <v>23</v>
      </c>
      <c r="C31" s="133" t="s">
        <v>440</v>
      </c>
      <c r="D31" s="133" t="s">
        <v>229</v>
      </c>
      <c r="E31" s="135" t="s">
        <v>231</v>
      </c>
      <c r="F31" s="135">
        <v>45</v>
      </c>
      <c r="G31" s="135"/>
    </row>
    <row r="32" spans="1:7" ht="25.05" customHeight="1">
      <c r="A32" s="133">
        <v>29</v>
      </c>
      <c r="B32" s="134" t="s">
        <v>23</v>
      </c>
      <c r="C32" s="133" t="s">
        <v>440</v>
      </c>
      <c r="D32" s="133" t="s">
        <v>229</v>
      </c>
      <c r="E32" s="135" t="s">
        <v>412</v>
      </c>
      <c r="F32" s="135">
        <v>40</v>
      </c>
      <c r="G32" s="135"/>
    </row>
    <row r="33" spans="1:7" ht="25.05" customHeight="1">
      <c r="A33" s="133">
        <v>30</v>
      </c>
      <c r="B33" s="134" t="s">
        <v>23</v>
      </c>
      <c r="C33" s="133" t="s">
        <v>440</v>
      </c>
      <c r="D33" s="133" t="s">
        <v>229</v>
      </c>
      <c r="E33" s="135" t="s">
        <v>413</v>
      </c>
      <c r="F33" s="135">
        <v>30</v>
      </c>
      <c r="G33" s="135"/>
    </row>
    <row r="34" spans="1:7" ht="25.05" customHeight="1">
      <c r="A34" s="133">
        <v>31</v>
      </c>
      <c r="B34" s="134" t="s">
        <v>23</v>
      </c>
      <c r="C34" s="133" t="s">
        <v>440</v>
      </c>
      <c r="D34" s="133" t="s">
        <v>229</v>
      </c>
      <c r="E34" s="135" t="s">
        <v>414</v>
      </c>
      <c r="F34" s="135">
        <v>30</v>
      </c>
      <c r="G34" s="135"/>
    </row>
    <row r="35" spans="1:7" ht="25.05" customHeight="1">
      <c r="A35" s="133">
        <v>32</v>
      </c>
      <c r="B35" s="134" t="s">
        <v>23</v>
      </c>
      <c r="C35" s="133" t="s">
        <v>440</v>
      </c>
      <c r="D35" s="133" t="s">
        <v>229</v>
      </c>
      <c r="E35" s="135" t="s">
        <v>415</v>
      </c>
      <c r="F35" s="135">
        <v>120</v>
      </c>
      <c r="G35" s="135"/>
    </row>
    <row r="36" spans="1:7" ht="25.05" customHeight="1">
      <c r="A36" s="133">
        <v>33</v>
      </c>
      <c r="B36" s="134" t="s">
        <v>23</v>
      </c>
      <c r="C36" s="133" t="s">
        <v>440</v>
      </c>
      <c r="D36" s="133" t="s">
        <v>229</v>
      </c>
      <c r="E36" s="135" t="s">
        <v>416</v>
      </c>
      <c r="F36" s="135">
        <v>8</v>
      </c>
      <c r="G36" s="135"/>
    </row>
    <row r="37" spans="1:7" ht="25.05" customHeight="1">
      <c r="A37" s="133">
        <v>34</v>
      </c>
      <c r="B37" s="134" t="s">
        <v>23</v>
      </c>
      <c r="C37" s="133" t="s">
        <v>440</v>
      </c>
      <c r="D37" s="133" t="s">
        <v>229</v>
      </c>
      <c r="E37" s="135" t="s">
        <v>417</v>
      </c>
      <c r="F37" s="135">
        <v>10</v>
      </c>
      <c r="G37" s="135"/>
    </row>
    <row r="38" spans="1:7" ht="25.05" customHeight="1">
      <c r="A38" s="133">
        <v>35</v>
      </c>
      <c r="B38" s="134" t="s">
        <v>23</v>
      </c>
      <c r="C38" s="133" t="s">
        <v>440</v>
      </c>
      <c r="D38" s="133" t="s">
        <v>229</v>
      </c>
      <c r="E38" s="135" t="s">
        <v>431</v>
      </c>
      <c r="F38" s="135">
        <v>12</v>
      </c>
      <c r="G38" s="135"/>
    </row>
    <row r="39" spans="1:7" ht="25.05" customHeight="1">
      <c r="A39" s="133">
        <v>36</v>
      </c>
      <c r="B39" s="134" t="s">
        <v>23</v>
      </c>
      <c r="C39" s="133" t="s">
        <v>440</v>
      </c>
      <c r="D39" s="130" t="s">
        <v>219</v>
      </c>
      <c r="E39" s="136" t="s">
        <v>238</v>
      </c>
      <c r="F39" s="137">
        <f ca="1">SUM(F30:F39)</f>
        <v>304</v>
      </c>
      <c r="G39" s="136"/>
    </row>
    <row r="40" spans="1:7" ht="25.05" customHeight="1">
      <c r="A40" s="133">
        <v>37</v>
      </c>
      <c r="B40" s="134" t="s">
        <v>23</v>
      </c>
      <c r="C40" s="133" t="s">
        <v>440</v>
      </c>
      <c r="D40" s="133" t="s">
        <v>239</v>
      </c>
      <c r="E40" s="135" t="s">
        <v>240</v>
      </c>
      <c r="F40" s="135">
        <v>70</v>
      </c>
      <c r="G40" s="135"/>
    </row>
    <row r="41" spans="1:7" ht="25.05" customHeight="1">
      <c r="A41" s="133">
        <v>38</v>
      </c>
      <c r="B41" s="134" t="s">
        <v>23</v>
      </c>
      <c r="C41" s="133" t="s">
        <v>440</v>
      </c>
      <c r="D41" s="133" t="s">
        <v>239</v>
      </c>
      <c r="E41" s="135" t="s">
        <v>241</v>
      </c>
      <c r="F41" s="135">
        <v>60</v>
      </c>
      <c r="G41" s="135"/>
    </row>
    <row r="42" spans="1:7" ht="25.05" customHeight="1">
      <c r="A42" s="133">
        <v>39</v>
      </c>
      <c r="B42" s="134" t="s">
        <v>23</v>
      </c>
      <c r="C42" s="133" t="s">
        <v>440</v>
      </c>
      <c r="D42" s="130" t="s">
        <v>219</v>
      </c>
      <c r="E42" s="136" t="s">
        <v>242</v>
      </c>
      <c r="F42" s="136">
        <f>SUM(F40:F41)</f>
        <v>130</v>
      </c>
      <c r="G42" s="136"/>
    </row>
    <row r="43" spans="1:7" ht="25.05" customHeight="1">
      <c r="A43" s="133">
        <v>40</v>
      </c>
      <c r="B43" s="134" t="s">
        <v>23</v>
      </c>
      <c r="C43" s="133" t="s">
        <v>440</v>
      </c>
      <c r="D43" s="133" t="s">
        <v>259</v>
      </c>
      <c r="E43" s="138" t="s">
        <v>432</v>
      </c>
      <c r="F43" s="135">
        <v>45</v>
      </c>
      <c r="G43" s="135"/>
    </row>
    <row r="44" spans="1:7" ht="25.05" customHeight="1">
      <c r="A44" s="133">
        <v>41</v>
      </c>
      <c r="B44" s="134" t="s">
        <v>23</v>
      </c>
      <c r="C44" s="133" t="s">
        <v>440</v>
      </c>
      <c r="D44" s="130" t="s">
        <v>219</v>
      </c>
      <c r="E44" s="136" t="s">
        <v>261</v>
      </c>
      <c r="F44" s="136">
        <f>SUM(F43:F43)</f>
        <v>45</v>
      </c>
      <c r="G44" s="136"/>
    </row>
    <row r="45" spans="1:7" ht="25.05" customHeight="1">
      <c r="A45" s="133">
        <v>42</v>
      </c>
      <c r="B45" s="134" t="s">
        <v>23</v>
      </c>
      <c r="C45" s="133" t="s">
        <v>440</v>
      </c>
      <c r="D45" s="133" t="s">
        <v>243</v>
      </c>
      <c r="E45" s="135" t="s">
        <v>433</v>
      </c>
      <c r="F45" s="135">
        <v>7.8</v>
      </c>
      <c r="G45" s="135"/>
    </row>
    <row r="46" spans="1:7" ht="25.05" customHeight="1">
      <c r="A46" s="133">
        <v>43</v>
      </c>
      <c r="B46" s="134" t="s">
        <v>23</v>
      </c>
      <c r="C46" s="133" t="s">
        <v>440</v>
      </c>
      <c r="D46" s="133" t="s">
        <v>243</v>
      </c>
      <c r="E46" s="135" t="s">
        <v>434</v>
      </c>
      <c r="F46" s="135">
        <v>7.8</v>
      </c>
      <c r="G46" s="135"/>
    </row>
    <row r="47" spans="1:7" ht="25.05" customHeight="1">
      <c r="A47" s="133">
        <v>44</v>
      </c>
      <c r="B47" s="134" t="s">
        <v>23</v>
      </c>
      <c r="C47" s="133" t="s">
        <v>440</v>
      </c>
      <c r="D47" s="133" t="s">
        <v>243</v>
      </c>
      <c r="E47" s="135" t="s">
        <v>435</v>
      </c>
      <c r="F47" s="135">
        <v>14.5</v>
      </c>
      <c r="G47" s="135"/>
    </row>
    <row r="48" spans="1:7" ht="25.05" customHeight="1">
      <c r="A48" s="133">
        <v>45</v>
      </c>
      <c r="B48" s="134" t="s">
        <v>23</v>
      </c>
      <c r="C48" s="133" t="s">
        <v>440</v>
      </c>
      <c r="D48" s="133" t="s">
        <v>243</v>
      </c>
      <c r="E48" s="135" t="s">
        <v>423</v>
      </c>
      <c r="F48" s="135">
        <v>2</v>
      </c>
      <c r="G48" s="135"/>
    </row>
    <row r="49" spans="1:7" ht="25.05" customHeight="1">
      <c r="A49" s="133">
        <v>46</v>
      </c>
      <c r="B49" s="134" t="s">
        <v>23</v>
      </c>
      <c r="C49" s="133" t="s">
        <v>440</v>
      </c>
      <c r="D49" s="130" t="s">
        <v>219</v>
      </c>
      <c r="E49" s="136" t="s">
        <v>248</v>
      </c>
      <c r="F49" s="136">
        <f>SUM(F45:F48)</f>
        <v>32.1</v>
      </c>
      <c r="G49" s="136"/>
    </row>
    <row r="50" spans="1:7" ht="25.05" customHeight="1">
      <c r="A50" s="133">
        <v>47</v>
      </c>
      <c r="B50" s="134" t="s">
        <v>23</v>
      </c>
      <c r="C50" s="133" t="s">
        <v>440</v>
      </c>
      <c r="D50" s="133" t="s">
        <v>249</v>
      </c>
      <c r="E50" s="135" t="s">
        <v>304</v>
      </c>
      <c r="F50" s="135">
        <v>7</v>
      </c>
      <c r="G50" s="135"/>
    </row>
    <row r="51" spans="1:7" ht="25.05" customHeight="1">
      <c r="A51" s="133">
        <v>48</v>
      </c>
      <c r="B51" s="134" t="s">
        <v>23</v>
      </c>
      <c r="C51" s="133" t="s">
        <v>440</v>
      </c>
      <c r="D51" s="133" t="s">
        <v>249</v>
      </c>
      <c r="E51" s="135" t="s">
        <v>251</v>
      </c>
      <c r="F51" s="135">
        <v>7</v>
      </c>
      <c r="G51" s="135"/>
    </row>
    <row r="52" spans="1:7" ht="25.05" customHeight="1">
      <c r="A52" s="133">
        <v>49</v>
      </c>
      <c r="B52" s="134" t="s">
        <v>23</v>
      </c>
      <c r="C52" s="133" t="s">
        <v>440</v>
      </c>
      <c r="D52" s="133" t="s">
        <v>249</v>
      </c>
      <c r="E52" s="135" t="s">
        <v>424</v>
      </c>
      <c r="F52" s="135">
        <v>31.5</v>
      </c>
      <c r="G52" s="135"/>
    </row>
    <row r="53" spans="1:7" ht="25.05" customHeight="1">
      <c r="A53" s="133">
        <v>50</v>
      </c>
      <c r="B53" s="134" t="s">
        <v>23</v>
      </c>
      <c r="C53" s="133" t="s">
        <v>440</v>
      </c>
      <c r="D53" s="133" t="s">
        <v>249</v>
      </c>
      <c r="E53" s="135" t="s">
        <v>253</v>
      </c>
      <c r="F53" s="135">
        <v>7</v>
      </c>
      <c r="G53" s="135"/>
    </row>
    <row r="54" spans="1:7" s="125" customFormat="1" ht="25.05" customHeight="1">
      <c r="A54" s="133">
        <v>51</v>
      </c>
      <c r="B54" s="134" t="s">
        <v>23</v>
      </c>
      <c r="C54" s="133" t="s">
        <v>440</v>
      </c>
      <c r="D54" s="133" t="s">
        <v>249</v>
      </c>
      <c r="E54" s="135" t="s">
        <v>393</v>
      </c>
      <c r="F54" s="141">
        <v>30</v>
      </c>
      <c r="G54" s="135"/>
    </row>
    <row r="55" spans="1:7" s="125" customFormat="1" ht="25.05" customHeight="1">
      <c r="A55" s="133">
        <v>52</v>
      </c>
      <c r="B55" s="134" t="s">
        <v>23</v>
      </c>
      <c r="C55" s="133" t="s">
        <v>440</v>
      </c>
      <c r="D55" s="133" t="s">
        <v>249</v>
      </c>
      <c r="E55" s="135" t="s">
        <v>394</v>
      </c>
      <c r="F55" s="141">
        <v>20</v>
      </c>
      <c r="G55" s="135"/>
    </row>
    <row r="56" spans="1:7" ht="25.05" customHeight="1">
      <c r="A56" s="133">
        <v>53</v>
      </c>
      <c r="B56" s="134" t="s">
        <v>23</v>
      </c>
      <c r="C56" s="133" t="s">
        <v>440</v>
      </c>
      <c r="D56" s="130" t="s">
        <v>219</v>
      </c>
      <c r="E56" s="136" t="s">
        <v>255</v>
      </c>
      <c r="F56" s="136">
        <f>SUM(F50:F55)</f>
        <v>102.5</v>
      </c>
      <c r="G56" s="136"/>
    </row>
    <row r="57" spans="1:7" ht="25.05" customHeight="1">
      <c r="A57" s="133">
        <v>54</v>
      </c>
      <c r="B57" s="134" t="s">
        <v>23</v>
      </c>
      <c r="C57" s="133" t="s">
        <v>440</v>
      </c>
      <c r="D57" s="133" t="s">
        <v>262</v>
      </c>
      <c r="E57" s="145" t="s">
        <v>425</v>
      </c>
      <c r="F57" s="145">
        <v>255</v>
      </c>
      <c r="G57" s="145"/>
    </row>
    <row r="58" spans="1:7" ht="25.05" customHeight="1">
      <c r="A58" s="133">
        <v>55</v>
      </c>
      <c r="B58" s="134" t="s">
        <v>23</v>
      </c>
      <c r="C58" s="133" t="s">
        <v>440</v>
      </c>
      <c r="D58" s="133" t="s">
        <v>262</v>
      </c>
      <c r="E58" s="135" t="s">
        <v>264</v>
      </c>
      <c r="F58" s="135">
        <v>40</v>
      </c>
      <c r="G58" s="135"/>
    </row>
    <row r="59" spans="1:7" ht="25.05" customHeight="1">
      <c r="A59" s="133">
        <v>56</v>
      </c>
      <c r="B59" s="134" t="s">
        <v>23</v>
      </c>
      <c r="C59" s="133" t="s">
        <v>440</v>
      </c>
      <c r="D59" s="133" t="s">
        <v>262</v>
      </c>
      <c r="E59" s="135" t="s">
        <v>265</v>
      </c>
      <c r="F59" s="135">
        <v>40</v>
      </c>
      <c r="G59" s="135"/>
    </row>
    <row r="60" spans="1:7" ht="25.05" customHeight="1">
      <c r="A60" s="133">
        <v>57</v>
      </c>
      <c r="B60" s="134" t="s">
        <v>23</v>
      </c>
      <c r="C60" s="133" t="s">
        <v>440</v>
      </c>
      <c r="D60" s="130" t="s">
        <v>219</v>
      </c>
      <c r="E60" s="136" t="s">
        <v>266</v>
      </c>
      <c r="F60" s="136">
        <f>SUM(F57:F59)</f>
        <v>335</v>
      </c>
      <c r="G60" s="136"/>
    </row>
    <row r="61" spans="1:7" ht="25.05" customHeight="1">
      <c r="A61" s="133">
        <v>58</v>
      </c>
      <c r="B61" s="134" t="s">
        <v>23</v>
      </c>
      <c r="C61" s="133" t="s">
        <v>440</v>
      </c>
      <c r="D61" s="130" t="s">
        <v>267</v>
      </c>
      <c r="E61" s="137" t="s">
        <v>441</v>
      </c>
      <c r="F61" s="137">
        <v>1821</v>
      </c>
      <c r="G61" s="136"/>
    </row>
    <row r="62" spans="1:7" ht="25.05" customHeight="1">
      <c r="A62" s="225" t="s">
        <v>442</v>
      </c>
      <c r="B62" s="226"/>
      <c r="C62" s="226"/>
      <c r="D62" s="226"/>
      <c r="E62" s="226"/>
      <c r="F62" s="226"/>
      <c r="G62" s="227"/>
    </row>
  </sheetData>
  <autoFilter ref="A3:G62" xr:uid="{00000000-0009-0000-0000-00000D000000}"/>
  <mergeCells count="3">
    <mergeCell ref="A1:G1"/>
    <mergeCell ref="A2:G2"/>
    <mergeCell ref="A62:G62"/>
  </mergeCells>
  <phoneticPr fontId="23" type="noConversion"/>
  <pageMargins left="0.59055118110236204" right="0.15748031496063" top="0.35433070866141703" bottom="0.511811023622047" header="0.35433070866141703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65"/>
  <sheetViews>
    <sheetView view="pageBreakPreview" zoomScaleNormal="100" workbookViewId="0">
      <pane ySplit="3" topLeftCell="A4" activePane="bottomLeft" state="frozen"/>
      <selection pane="bottomLeft" activeCell="F13" sqref="F13"/>
    </sheetView>
  </sheetViews>
  <sheetFormatPr defaultColWidth="9" defaultRowHeight="15.75"/>
  <cols>
    <col min="1" max="1" width="4.06640625" style="1" customWidth="1"/>
    <col min="2" max="2" width="8.796875" style="2" customWidth="1"/>
    <col min="3" max="3" width="11.59765625" style="1" customWidth="1"/>
    <col min="4" max="4" width="13.06640625" style="1" customWidth="1"/>
    <col min="5" max="5" width="42.73046875" style="1" customWidth="1"/>
    <col min="6" max="6" width="8" style="1" customWidth="1"/>
    <col min="7" max="7" width="7.796875" style="1" customWidth="1"/>
  </cols>
  <sheetData>
    <row r="1" spans="1:7" ht="25.05" customHeight="1">
      <c r="A1" s="215" t="s">
        <v>443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444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183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32</v>
      </c>
      <c r="C5" s="6" t="s">
        <v>183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32</v>
      </c>
      <c r="C6" s="6" t="s">
        <v>183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32</v>
      </c>
      <c r="C7" s="6" t="s">
        <v>183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32</v>
      </c>
      <c r="C8" s="6" t="s">
        <v>183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32</v>
      </c>
      <c r="C9" s="6" t="s">
        <v>183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32</v>
      </c>
      <c r="C10" s="6" t="s">
        <v>183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32</v>
      </c>
      <c r="C11" s="6" t="s">
        <v>183</v>
      </c>
      <c r="D11" s="6" t="s">
        <v>209</v>
      </c>
      <c r="E11" s="143" t="s">
        <v>445</v>
      </c>
      <c r="F11" s="8">
        <v>18</v>
      </c>
      <c r="G11" s="8"/>
    </row>
    <row r="12" spans="1:7" ht="25.05" customHeight="1">
      <c r="A12" s="6">
        <v>9</v>
      </c>
      <c r="B12" s="7" t="s">
        <v>32</v>
      </c>
      <c r="C12" s="6" t="s">
        <v>183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32</v>
      </c>
      <c r="C13" s="6" t="s">
        <v>183</v>
      </c>
      <c r="D13" s="6" t="s">
        <v>209</v>
      </c>
      <c r="E13" s="8" t="s">
        <v>400</v>
      </c>
      <c r="F13" s="8">
        <v>10</v>
      </c>
      <c r="G13" s="8"/>
    </row>
    <row r="14" spans="1:7" ht="25.05" customHeight="1">
      <c r="A14" s="6">
        <v>11</v>
      </c>
      <c r="B14" s="7" t="s">
        <v>32</v>
      </c>
      <c r="C14" s="6" t="s">
        <v>183</v>
      </c>
      <c r="D14" s="3" t="s">
        <v>219</v>
      </c>
      <c r="E14" s="9" t="s">
        <v>220</v>
      </c>
      <c r="F14" s="9">
        <f>SUM(F4:F13)</f>
        <v>261</v>
      </c>
      <c r="G14" s="9"/>
    </row>
    <row r="15" spans="1:7" ht="25.05" customHeight="1">
      <c r="A15" s="6">
        <v>12</v>
      </c>
      <c r="B15" s="7" t="s">
        <v>32</v>
      </c>
      <c r="C15" s="6" t="s">
        <v>183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32</v>
      </c>
      <c r="C16" s="6" t="s">
        <v>183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32</v>
      </c>
      <c r="C17" s="6" t="s">
        <v>183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32</v>
      </c>
      <c r="C18" s="6" t="s">
        <v>183</v>
      </c>
      <c r="D18" s="6" t="s">
        <v>401</v>
      </c>
      <c r="E18" s="8" t="s">
        <v>405</v>
      </c>
      <c r="F18" s="8">
        <v>60</v>
      </c>
      <c r="G18" s="8"/>
    </row>
    <row r="19" spans="1:7" ht="25.05" customHeight="1">
      <c r="A19" s="6">
        <v>16</v>
      </c>
      <c r="B19" s="7" t="s">
        <v>32</v>
      </c>
      <c r="C19" s="6" t="s">
        <v>183</v>
      </c>
      <c r="D19" s="6" t="s">
        <v>401</v>
      </c>
      <c r="E19" s="8" t="s">
        <v>406</v>
      </c>
      <c r="F19" s="8">
        <v>20</v>
      </c>
      <c r="G19" s="8"/>
    </row>
    <row r="20" spans="1:7" ht="25.05" customHeight="1">
      <c r="A20" s="6">
        <v>17</v>
      </c>
      <c r="B20" s="7" t="s">
        <v>32</v>
      </c>
      <c r="C20" s="6" t="s">
        <v>183</v>
      </c>
      <c r="D20" s="6" t="s">
        <v>401</v>
      </c>
      <c r="E20" s="8" t="s">
        <v>407</v>
      </c>
      <c r="F20" s="8">
        <v>200</v>
      </c>
      <c r="G20" s="8"/>
    </row>
    <row r="21" spans="1:7" ht="25.05" customHeight="1">
      <c r="A21" s="6">
        <v>18</v>
      </c>
      <c r="B21" s="7" t="s">
        <v>32</v>
      </c>
      <c r="C21" s="6" t="s">
        <v>183</v>
      </c>
      <c r="D21" s="6" t="s">
        <v>401</v>
      </c>
      <c r="E21" s="8" t="s">
        <v>408</v>
      </c>
      <c r="F21" s="8">
        <v>16</v>
      </c>
      <c r="G21" s="8"/>
    </row>
    <row r="22" spans="1:7" ht="25.05" customHeight="1">
      <c r="A22" s="6">
        <v>19</v>
      </c>
      <c r="B22" s="7" t="s">
        <v>32</v>
      </c>
      <c r="C22" s="6" t="s">
        <v>183</v>
      </c>
      <c r="D22" s="3" t="s">
        <v>219</v>
      </c>
      <c r="E22" s="9" t="s">
        <v>409</v>
      </c>
      <c r="F22" s="9">
        <f>SUM(F15:F21)</f>
        <v>504</v>
      </c>
      <c r="G22" s="9"/>
    </row>
    <row r="23" spans="1:7" ht="25.05" customHeight="1">
      <c r="A23" s="6">
        <v>20</v>
      </c>
      <c r="B23" s="7" t="s">
        <v>32</v>
      </c>
      <c r="C23" s="6" t="s">
        <v>183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32</v>
      </c>
      <c r="C24" s="6" t="s">
        <v>183</v>
      </c>
      <c r="D24" s="6" t="s">
        <v>221</v>
      </c>
      <c r="E24" s="8" t="s">
        <v>223</v>
      </c>
      <c r="F24" s="8">
        <v>22</v>
      </c>
      <c r="G24" s="8"/>
    </row>
    <row r="25" spans="1:7" ht="25.05" customHeight="1">
      <c r="A25" s="6">
        <v>22</v>
      </c>
      <c r="B25" s="7" t="s">
        <v>32</v>
      </c>
      <c r="C25" s="6" t="s">
        <v>183</v>
      </c>
      <c r="D25" s="6" t="s">
        <v>221</v>
      </c>
      <c r="E25" s="8" t="s">
        <v>224</v>
      </c>
      <c r="F25" s="8">
        <v>9</v>
      </c>
      <c r="G25" s="8"/>
    </row>
    <row r="26" spans="1:7" ht="25.05" customHeight="1">
      <c r="A26" s="6">
        <v>23</v>
      </c>
      <c r="B26" s="7" t="s">
        <v>32</v>
      </c>
      <c r="C26" s="6" t="s">
        <v>183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32</v>
      </c>
      <c r="C27" s="6" t="s">
        <v>183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32</v>
      </c>
      <c r="C28" s="6" t="s">
        <v>183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32</v>
      </c>
      <c r="C29" s="6" t="s">
        <v>183</v>
      </c>
      <c r="D29" s="3" t="s">
        <v>219</v>
      </c>
      <c r="E29" s="9" t="s">
        <v>228</v>
      </c>
      <c r="F29" s="10">
        <f>SUM(F23:F28)</f>
        <v>107</v>
      </c>
      <c r="G29" s="9"/>
    </row>
    <row r="30" spans="1:7" ht="25.05" customHeight="1">
      <c r="A30" s="6">
        <v>27</v>
      </c>
      <c r="B30" s="7" t="s">
        <v>32</v>
      </c>
      <c r="C30" s="6" t="s">
        <v>183</v>
      </c>
      <c r="D30" s="6" t="s">
        <v>229</v>
      </c>
      <c r="E30" s="8" t="s">
        <v>230</v>
      </c>
      <c r="F30" s="8">
        <v>14</v>
      </c>
      <c r="G30" s="8"/>
    </row>
    <row r="31" spans="1:7" ht="25.05" customHeight="1">
      <c r="A31" s="6">
        <v>28</v>
      </c>
      <c r="B31" s="7" t="s">
        <v>32</v>
      </c>
      <c r="C31" s="6" t="s">
        <v>183</v>
      </c>
      <c r="D31" s="6" t="s">
        <v>229</v>
      </c>
      <c r="E31" s="8" t="s">
        <v>231</v>
      </c>
      <c r="F31" s="8">
        <v>45</v>
      </c>
      <c r="G31" s="8"/>
    </row>
    <row r="32" spans="1:7" ht="25.05" customHeight="1">
      <c r="A32" s="6">
        <v>29</v>
      </c>
      <c r="B32" s="7" t="s">
        <v>32</v>
      </c>
      <c r="C32" s="6" t="s">
        <v>183</v>
      </c>
      <c r="D32" s="6" t="s">
        <v>229</v>
      </c>
      <c r="E32" s="8" t="s">
        <v>412</v>
      </c>
      <c r="F32" s="8">
        <v>40</v>
      </c>
      <c r="G32" s="8"/>
    </row>
    <row r="33" spans="1:7" ht="25.05" customHeight="1">
      <c r="A33" s="6">
        <v>30</v>
      </c>
      <c r="B33" s="7" t="s">
        <v>32</v>
      </c>
      <c r="C33" s="6" t="s">
        <v>183</v>
      </c>
      <c r="D33" s="6" t="s">
        <v>229</v>
      </c>
      <c r="E33" s="8" t="s">
        <v>446</v>
      </c>
      <c r="F33" s="8">
        <v>25</v>
      </c>
      <c r="G33" s="8"/>
    </row>
    <row r="34" spans="1:7" ht="25.05" customHeight="1">
      <c r="A34" s="6">
        <v>31</v>
      </c>
      <c r="B34" s="7" t="s">
        <v>32</v>
      </c>
      <c r="C34" s="6" t="s">
        <v>183</v>
      </c>
      <c r="D34" s="6" t="s">
        <v>229</v>
      </c>
      <c r="E34" s="8" t="s">
        <v>447</v>
      </c>
      <c r="F34" s="8">
        <v>30</v>
      </c>
      <c r="G34" s="8"/>
    </row>
    <row r="35" spans="1:7" ht="25.05" customHeight="1">
      <c r="A35" s="6">
        <v>32</v>
      </c>
      <c r="B35" s="7" t="s">
        <v>32</v>
      </c>
      <c r="C35" s="6" t="s">
        <v>183</v>
      </c>
      <c r="D35" s="6" t="s">
        <v>229</v>
      </c>
      <c r="E35" s="8" t="s">
        <v>448</v>
      </c>
      <c r="F35" s="8">
        <v>20</v>
      </c>
      <c r="G35" s="8"/>
    </row>
    <row r="36" spans="1:7" ht="25.05" customHeight="1">
      <c r="A36" s="6">
        <v>33</v>
      </c>
      <c r="B36" s="7" t="s">
        <v>32</v>
      </c>
      <c r="C36" s="6" t="s">
        <v>183</v>
      </c>
      <c r="D36" s="6" t="s">
        <v>229</v>
      </c>
      <c r="E36" s="8" t="s">
        <v>415</v>
      </c>
      <c r="F36" s="8">
        <v>120</v>
      </c>
      <c r="G36" s="8"/>
    </row>
    <row r="37" spans="1:7" ht="25.05" customHeight="1">
      <c r="A37" s="6">
        <v>34</v>
      </c>
      <c r="B37" s="7" t="s">
        <v>32</v>
      </c>
      <c r="C37" s="6" t="s">
        <v>183</v>
      </c>
      <c r="D37" s="6" t="s">
        <v>229</v>
      </c>
      <c r="E37" s="8" t="s">
        <v>416</v>
      </c>
      <c r="F37" s="8">
        <v>8</v>
      </c>
      <c r="G37" s="8"/>
    </row>
    <row r="38" spans="1:7" ht="25.05" customHeight="1">
      <c r="A38" s="6">
        <v>35</v>
      </c>
      <c r="B38" s="7" t="s">
        <v>32</v>
      </c>
      <c r="C38" s="6" t="s">
        <v>183</v>
      </c>
      <c r="D38" s="6" t="s">
        <v>229</v>
      </c>
      <c r="E38" s="8" t="s">
        <v>417</v>
      </c>
      <c r="F38" s="8">
        <v>10</v>
      </c>
      <c r="G38" s="8"/>
    </row>
    <row r="39" spans="1:7" ht="25.05" customHeight="1">
      <c r="A39" s="6">
        <v>36</v>
      </c>
      <c r="B39" s="7" t="s">
        <v>32</v>
      </c>
      <c r="C39" s="6" t="s">
        <v>183</v>
      </c>
      <c r="D39" s="6" t="s">
        <v>229</v>
      </c>
      <c r="E39" s="8" t="s">
        <v>431</v>
      </c>
      <c r="F39" s="8">
        <v>12</v>
      </c>
      <c r="G39" s="8"/>
    </row>
    <row r="40" spans="1:7" ht="25.05" customHeight="1">
      <c r="A40" s="6">
        <v>37</v>
      </c>
      <c r="B40" s="7" t="s">
        <v>32</v>
      </c>
      <c r="C40" s="6" t="s">
        <v>183</v>
      </c>
      <c r="D40" s="3" t="s">
        <v>219</v>
      </c>
      <c r="E40" s="9" t="s">
        <v>238</v>
      </c>
      <c r="F40" s="10">
        <f>SUM(F30:F39)</f>
        <v>324</v>
      </c>
      <c r="G40" s="9"/>
    </row>
    <row r="41" spans="1:7" ht="25.05" customHeight="1">
      <c r="A41" s="6">
        <v>38</v>
      </c>
      <c r="B41" s="7" t="s">
        <v>32</v>
      </c>
      <c r="C41" s="6" t="s">
        <v>183</v>
      </c>
      <c r="D41" s="6" t="s">
        <v>239</v>
      </c>
      <c r="E41" s="8" t="s">
        <v>240</v>
      </c>
      <c r="F41" s="8">
        <v>70</v>
      </c>
      <c r="G41" s="8"/>
    </row>
    <row r="42" spans="1:7" ht="25.05" customHeight="1">
      <c r="A42" s="6">
        <v>39</v>
      </c>
      <c r="B42" s="7" t="s">
        <v>32</v>
      </c>
      <c r="C42" s="6" t="s">
        <v>183</v>
      </c>
      <c r="D42" s="6" t="s">
        <v>239</v>
      </c>
      <c r="E42" s="8" t="s">
        <v>241</v>
      </c>
      <c r="F42" s="8">
        <v>60</v>
      </c>
      <c r="G42" s="8"/>
    </row>
    <row r="43" spans="1:7" ht="25.05" customHeight="1">
      <c r="A43" s="6">
        <v>40</v>
      </c>
      <c r="B43" s="7" t="s">
        <v>32</v>
      </c>
      <c r="C43" s="6" t="s">
        <v>183</v>
      </c>
      <c r="D43" s="3" t="s">
        <v>219</v>
      </c>
      <c r="E43" s="9" t="s">
        <v>242</v>
      </c>
      <c r="F43" s="9">
        <f>SUM(F41:F42)</f>
        <v>130</v>
      </c>
      <c r="G43" s="9"/>
    </row>
    <row r="44" spans="1:7" ht="25.05" customHeight="1">
      <c r="A44" s="6">
        <v>41</v>
      </c>
      <c r="B44" s="7" t="s">
        <v>32</v>
      </c>
      <c r="C44" s="6" t="s">
        <v>183</v>
      </c>
      <c r="D44" s="6" t="s">
        <v>259</v>
      </c>
      <c r="E44" s="8" t="s">
        <v>449</v>
      </c>
      <c r="F44" s="8">
        <v>10</v>
      </c>
      <c r="G44" s="8"/>
    </row>
    <row r="45" spans="1:7" ht="25.05" customHeight="1">
      <c r="A45" s="6">
        <v>42</v>
      </c>
      <c r="B45" s="7" t="s">
        <v>32</v>
      </c>
      <c r="C45" s="6" t="s">
        <v>183</v>
      </c>
      <c r="D45" s="6" t="s">
        <v>259</v>
      </c>
      <c r="E45" s="11" t="s">
        <v>450</v>
      </c>
      <c r="F45" s="8">
        <v>45</v>
      </c>
      <c r="G45" s="8"/>
    </row>
    <row r="46" spans="1:7" ht="25.05" customHeight="1">
      <c r="A46" s="6">
        <v>43</v>
      </c>
      <c r="B46" s="7" t="s">
        <v>32</v>
      </c>
      <c r="C46" s="6" t="s">
        <v>183</v>
      </c>
      <c r="D46" s="3" t="s">
        <v>219</v>
      </c>
      <c r="E46" s="9" t="s">
        <v>261</v>
      </c>
      <c r="F46" s="9">
        <f>SUM(F44:F45)</f>
        <v>55</v>
      </c>
      <c r="G46" s="9"/>
    </row>
    <row r="47" spans="1:7" ht="25.05" customHeight="1">
      <c r="A47" s="6">
        <v>44</v>
      </c>
      <c r="B47" s="7" t="s">
        <v>32</v>
      </c>
      <c r="C47" s="6" t="s">
        <v>183</v>
      </c>
      <c r="D47" s="6" t="s">
        <v>243</v>
      </c>
      <c r="E47" s="8" t="s">
        <v>451</v>
      </c>
      <c r="F47" s="8">
        <v>11.4</v>
      </c>
      <c r="G47" s="8"/>
    </row>
    <row r="48" spans="1:7" ht="25.05" customHeight="1">
      <c r="A48" s="6">
        <v>45</v>
      </c>
      <c r="B48" s="7" t="s">
        <v>32</v>
      </c>
      <c r="C48" s="6" t="s">
        <v>183</v>
      </c>
      <c r="D48" s="6" t="s">
        <v>243</v>
      </c>
      <c r="E48" s="8" t="s">
        <v>452</v>
      </c>
      <c r="F48" s="8">
        <v>11.4</v>
      </c>
      <c r="G48" s="8"/>
    </row>
    <row r="49" spans="1:7" ht="25.05" customHeight="1">
      <c r="A49" s="6">
        <v>46</v>
      </c>
      <c r="B49" s="7" t="s">
        <v>32</v>
      </c>
      <c r="C49" s="6" t="s">
        <v>183</v>
      </c>
      <c r="D49" s="6" t="s">
        <v>243</v>
      </c>
      <c r="E49" s="8" t="s">
        <v>453</v>
      </c>
      <c r="F49" s="8">
        <v>19.8</v>
      </c>
      <c r="G49" s="8"/>
    </row>
    <row r="50" spans="1:7" ht="25.05" customHeight="1">
      <c r="A50" s="6">
        <v>47</v>
      </c>
      <c r="B50" s="7" t="s">
        <v>32</v>
      </c>
      <c r="C50" s="6" t="s">
        <v>183</v>
      </c>
      <c r="D50" s="6" t="s">
        <v>243</v>
      </c>
      <c r="E50" s="8" t="s">
        <v>423</v>
      </c>
      <c r="F50" s="8">
        <v>2</v>
      </c>
      <c r="G50" s="8"/>
    </row>
    <row r="51" spans="1:7" ht="25.05" customHeight="1">
      <c r="A51" s="6">
        <v>48</v>
      </c>
      <c r="B51" s="7" t="s">
        <v>32</v>
      </c>
      <c r="C51" s="6" t="s">
        <v>183</v>
      </c>
      <c r="D51" s="3" t="s">
        <v>219</v>
      </c>
      <c r="E51" s="9" t="s">
        <v>248</v>
      </c>
      <c r="F51" s="9">
        <f>SUM(F47:F50)</f>
        <v>44.6</v>
      </c>
      <c r="G51" s="9"/>
    </row>
    <row r="52" spans="1:7" ht="25.05" customHeight="1">
      <c r="A52" s="6">
        <v>49</v>
      </c>
      <c r="B52" s="7" t="s">
        <v>32</v>
      </c>
      <c r="C52" s="6" t="s">
        <v>183</v>
      </c>
      <c r="D52" s="6" t="s">
        <v>249</v>
      </c>
      <c r="E52" s="8" t="s">
        <v>281</v>
      </c>
      <c r="F52" s="8">
        <v>10</v>
      </c>
      <c r="G52" s="8"/>
    </row>
    <row r="53" spans="1:7" ht="25.05" customHeight="1">
      <c r="A53" s="6">
        <v>50</v>
      </c>
      <c r="B53" s="7" t="s">
        <v>32</v>
      </c>
      <c r="C53" s="6" t="s">
        <v>183</v>
      </c>
      <c r="D53" s="6" t="s">
        <v>249</v>
      </c>
      <c r="E53" s="8" t="s">
        <v>282</v>
      </c>
      <c r="F53" s="8">
        <v>10</v>
      </c>
      <c r="G53" s="8"/>
    </row>
    <row r="54" spans="1:7" ht="25.05" customHeight="1">
      <c r="A54" s="6">
        <v>51</v>
      </c>
      <c r="B54" s="7" t="s">
        <v>32</v>
      </c>
      <c r="C54" s="6" t="s">
        <v>183</v>
      </c>
      <c r="D54" s="6" t="s">
        <v>249</v>
      </c>
      <c r="E54" s="8" t="s">
        <v>368</v>
      </c>
      <c r="F54" s="8">
        <v>45</v>
      </c>
      <c r="G54" s="8"/>
    </row>
    <row r="55" spans="1:7" ht="25.05" customHeight="1">
      <c r="A55" s="6">
        <v>52</v>
      </c>
      <c r="B55" s="7" t="s">
        <v>32</v>
      </c>
      <c r="C55" s="6" t="s">
        <v>183</v>
      </c>
      <c r="D55" s="6" t="s">
        <v>249</v>
      </c>
      <c r="E55" s="8" t="s">
        <v>284</v>
      </c>
      <c r="F55" s="8">
        <v>10</v>
      </c>
      <c r="G55" s="8"/>
    </row>
    <row r="56" spans="1:7" ht="25.05" customHeight="1">
      <c r="A56" s="6">
        <v>53</v>
      </c>
      <c r="B56" s="7" t="s">
        <v>32</v>
      </c>
      <c r="C56" s="6" t="s">
        <v>183</v>
      </c>
      <c r="D56" s="6" t="s">
        <v>249</v>
      </c>
      <c r="E56" s="8" t="s">
        <v>454</v>
      </c>
      <c r="F56" s="8">
        <v>10</v>
      </c>
      <c r="G56" s="8"/>
    </row>
    <row r="57" spans="1:7" ht="25.05" customHeight="1">
      <c r="A57" s="6">
        <v>54</v>
      </c>
      <c r="B57" s="7" t="s">
        <v>32</v>
      </c>
      <c r="C57" s="6" t="s">
        <v>183</v>
      </c>
      <c r="D57" s="3" t="s">
        <v>219</v>
      </c>
      <c r="E57" s="9" t="s">
        <v>255</v>
      </c>
      <c r="F57" s="9">
        <f>SUM(F52:F56)</f>
        <v>85</v>
      </c>
      <c r="G57" s="9"/>
    </row>
    <row r="58" spans="1:7" ht="25.05" customHeight="1">
      <c r="A58" s="6">
        <v>55</v>
      </c>
      <c r="B58" s="7" t="s">
        <v>32</v>
      </c>
      <c r="C58" s="6" t="s">
        <v>183</v>
      </c>
      <c r="D58" s="82" t="s">
        <v>256</v>
      </c>
      <c r="E58" s="11" t="s">
        <v>286</v>
      </c>
      <c r="F58" s="83">
        <v>10</v>
      </c>
      <c r="G58" s="8"/>
    </row>
    <row r="59" spans="1:7" ht="25.05" customHeight="1">
      <c r="A59" s="6">
        <v>56</v>
      </c>
      <c r="B59" s="7" t="s">
        <v>32</v>
      </c>
      <c r="C59" s="6" t="s">
        <v>183</v>
      </c>
      <c r="D59" s="3" t="s">
        <v>219</v>
      </c>
      <c r="E59" s="9" t="s">
        <v>258</v>
      </c>
      <c r="F59" s="9">
        <f>SUM(F58)</f>
        <v>10</v>
      </c>
      <c r="G59" s="9"/>
    </row>
    <row r="60" spans="1:7" ht="25.05" customHeight="1">
      <c r="A60" s="6">
        <v>57</v>
      </c>
      <c r="B60" s="7" t="s">
        <v>32</v>
      </c>
      <c r="C60" s="6" t="s">
        <v>183</v>
      </c>
      <c r="D60" s="6" t="s">
        <v>262</v>
      </c>
      <c r="E60" s="8" t="s">
        <v>425</v>
      </c>
      <c r="F60" s="8">
        <v>255</v>
      </c>
      <c r="G60" s="8"/>
    </row>
    <row r="61" spans="1:7" ht="25.05" customHeight="1">
      <c r="A61" s="6">
        <v>58</v>
      </c>
      <c r="B61" s="7" t="s">
        <v>32</v>
      </c>
      <c r="C61" s="6" t="s">
        <v>183</v>
      </c>
      <c r="D61" s="6" t="s">
        <v>262</v>
      </c>
      <c r="E61" s="8" t="s">
        <v>264</v>
      </c>
      <c r="F61" s="8">
        <v>40</v>
      </c>
      <c r="G61" s="8"/>
    </row>
    <row r="62" spans="1:7" ht="25.05" customHeight="1">
      <c r="A62" s="6">
        <v>59</v>
      </c>
      <c r="B62" s="7" t="s">
        <v>32</v>
      </c>
      <c r="C62" s="6" t="s">
        <v>183</v>
      </c>
      <c r="D62" s="6" t="s">
        <v>262</v>
      </c>
      <c r="E62" s="8" t="s">
        <v>265</v>
      </c>
      <c r="F62" s="8">
        <v>40</v>
      </c>
      <c r="G62" s="8"/>
    </row>
    <row r="63" spans="1:7" ht="25.05" customHeight="1">
      <c r="A63" s="6">
        <v>60</v>
      </c>
      <c r="B63" s="7" t="s">
        <v>32</v>
      </c>
      <c r="C63" s="6" t="s">
        <v>183</v>
      </c>
      <c r="D63" s="3" t="s">
        <v>219</v>
      </c>
      <c r="E63" s="9" t="s">
        <v>266</v>
      </c>
      <c r="F63" s="9">
        <f>SUM(F60:F62)</f>
        <v>335</v>
      </c>
      <c r="G63" s="9"/>
    </row>
    <row r="64" spans="1:7" ht="25.05" customHeight="1">
      <c r="A64" s="6">
        <v>61</v>
      </c>
      <c r="B64" s="7" t="s">
        <v>32</v>
      </c>
      <c r="C64" s="6" t="s">
        <v>183</v>
      </c>
      <c r="D64" s="3" t="s">
        <v>267</v>
      </c>
      <c r="E64" s="10" t="s">
        <v>455</v>
      </c>
      <c r="F64" s="10">
        <v>1856</v>
      </c>
      <c r="G64" s="9"/>
    </row>
    <row r="65" spans="1:7" ht="25.05" customHeight="1">
      <c r="A65" s="219" t="s">
        <v>288</v>
      </c>
      <c r="B65" s="219"/>
      <c r="C65" s="219"/>
      <c r="D65" s="219"/>
      <c r="E65" s="219"/>
      <c r="F65" s="219"/>
      <c r="G65" s="219"/>
    </row>
  </sheetData>
  <autoFilter ref="A3:G65" xr:uid="{00000000-0009-0000-0000-00000E000000}"/>
  <mergeCells count="3">
    <mergeCell ref="A1:G1"/>
    <mergeCell ref="A2:G2"/>
    <mergeCell ref="A65:G65"/>
  </mergeCells>
  <phoneticPr fontId="23" type="noConversion"/>
  <pageMargins left="0.59055118110236204" right="0.22" top="0.31496062992126" bottom="0.511811023622047" header="0.31496062992126" footer="0.31496062992126"/>
  <pageSetup paperSize="9" orientation="portrait" r:id="rId1"/>
  <headerFooter>
    <oddFooter>&amp;C&amp;8第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9"/>
  <sheetViews>
    <sheetView view="pageBreakPreview" zoomScale="115" zoomScaleNormal="100" workbookViewId="0">
      <pane ySplit="3" topLeftCell="A40" activePane="bottomLeft" state="frozen"/>
      <selection pane="bottomLeft" activeCell="E4" sqref="E4"/>
    </sheetView>
  </sheetViews>
  <sheetFormatPr defaultColWidth="9" defaultRowHeight="15.75"/>
  <cols>
    <col min="1" max="1" width="4.06640625" style="126" customWidth="1"/>
    <col min="2" max="2" width="8.59765625" style="127" customWidth="1"/>
    <col min="3" max="3" width="14.265625" style="126" customWidth="1"/>
    <col min="4" max="4" width="11.06640625" style="126" customWidth="1"/>
    <col min="5" max="5" width="43.9296875" style="128" customWidth="1"/>
    <col min="6" max="6" width="7.73046875" style="128" customWidth="1"/>
    <col min="7" max="7" width="7.19921875" style="128" customWidth="1"/>
    <col min="8" max="16384" width="9" style="129"/>
  </cols>
  <sheetData>
    <row r="1" spans="1:7" ht="25.05" customHeight="1">
      <c r="A1" s="223" t="s">
        <v>456</v>
      </c>
      <c r="B1" s="223"/>
      <c r="C1" s="223"/>
      <c r="D1" s="223"/>
      <c r="E1" s="223"/>
      <c r="F1" s="234"/>
      <c r="G1" s="234"/>
    </row>
    <row r="2" spans="1:7" ht="25.05" customHeight="1">
      <c r="A2" s="224" t="s">
        <v>457</v>
      </c>
      <c r="B2" s="224"/>
      <c r="C2" s="224"/>
      <c r="D2" s="224"/>
      <c r="E2" s="224"/>
      <c r="F2" s="224"/>
      <c r="G2" s="224"/>
    </row>
    <row r="3" spans="1:7" ht="25.05" customHeight="1">
      <c r="A3" s="130" t="s">
        <v>203</v>
      </c>
      <c r="B3" s="131" t="s">
        <v>204</v>
      </c>
      <c r="C3" s="130" t="s">
        <v>205</v>
      </c>
      <c r="D3" s="130" t="s">
        <v>206</v>
      </c>
      <c r="E3" s="130" t="s">
        <v>207</v>
      </c>
      <c r="F3" s="132" t="s">
        <v>208</v>
      </c>
      <c r="G3" s="132" t="s">
        <v>11</v>
      </c>
    </row>
    <row r="4" spans="1:7" ht="25.05" customHeight="1">
      <c r="A4" s="133">
        <v>1</v>
      </c>
      <c r="B4" s="134" t="s">
        <v>32</v>
      </c>
      <c r="C4" s="133" t="s">
        <v>458</v>
      </c>
      <c r="D4" s="133" t="s">
        <v>209</v>
      </c>
      <c r="E4" s="135" t="s">
        <v>210</v>
      </c>
      <c r="F4" s="135">
        <v>19</v>
      </c>
      <c r="G4" s="135"/>
    </row>
    <row r="5" spans="1:7" ht="25.05" customHeight="1">
      <c r="A5" s="133">
        <v>2</v>
      </c>
      <c r="B5" s="134" t="s">
        <v>32</v>
      </c>
      <c r="C5" s="133" t="s">
        <v>458</v>
      </c>
      <c r="D5" s="133" t="s">
        <v>209</v>
      </c>
      <c r="E5" s="135" t="s">
        <v>211</v>
      </c>
      <c r="F5" s="135">
        <v>15</v>
      </c>
      <c r="G5" s="135"/>
    </row>
    <row r="6" spans="1:7" ht="25.05" customHeight="1">
      <c r="A6" s="133">
        <v>3</v>
      </c>
      <c r="B6" s="134" t="s">
        <v>32</v>
      </c>
      <c r="C6" s="133" t="s">
        <v>458</v>
      </c>
      <c r="D6" s="133" t="s">
        <v>209</v>
      </c>
      <c r="E6" s="135" t="s">
        <v>212</v>
      </c>
      <c r="F6" s="135">
        <v>34</v>
      </c>
      <c r="G6" s="135"/>
    </row>
    <row r="7" spans="1:7" ht="25.05" customHeight="1">
      <c r="A7" s="133">
        <v>4</v>
      </c>
      <c r="B7" s="134" t="s">
        <v>32</v>
      </c>
      <c r="C7" s="133" t="s">
        <v>458</v>
      </c>
      <c r="D7" s="133" t="s">
        <v>209</v>
      </c>
      <c r="E7" s="135" t="s">
        <v>272</v>
      </c>
      <c r="F7" s="135">
        <v>34</v>
      </c>
      <c r="G7" s="135"/>
    </row>
    <row r="8" spans="1:7" ht="25.05" customHeight="1">
      <c r="A8" s="133">
        <v>5</v>
      </c>
      <c r="B8" s="134" t="s">
        <v>32</v>
      </c>
      <c r="C8" s="133" t="s">
        <v>458</v>
      </c>
      <c r="D8" s="133" t="s">
        <v>209</v>
      </c>
      <c r="E8" s="135" t="s">
        <v>214</v>
      </c>
      <c r="F8" s="135">
        <v>26</v>
      </c>
      <c r="G8" s="135"/>
    </row>
    <row r="9" spans="1:7" ht="25.05" customHeight="1">
      <c r="A9" s="133">
        <v>6</v>
      </c>
      <c r="B9" s="134" t="s">
        <v>32</v>
      </c>
      <c r="C9" s="133" t="s">
        <v>458</v>
      </c>
      <c r="D9" s="133" t="s">
        <v>209</v>
      </c>
      <c r="E9" s="135" t="s">
        <v>312</v>
      </c>
      <c r="F9" s="135">
        <v>10</v>
      </c>
      <c r="G9" s="135"/>
    </row>
    <row r="10" spans="1:7" ht="25.05" customHeight="1">
      <c r="A10" s="133">
        <v>7</v>
      </c>
      <c r="B10" s="134" t="s">
        <v>32</v>
      </c>
      <c r="C10" s="133" t="s">
        <v>458</v>
      </c>
      <c r="D10" s="133" t="s">
        <v>209</v>
      </c>
      <c r="E10" s="135" t="s">
        <v>216</v>
      </c>
      <c r="F10" s="135">
        <v>40</v>
      </c>
      <c r="G10" s="135"/>
    </row>
    <row r="11" spans="1:7" ht="25.05" customHeight="1">
      <c r="A11" s="133">
        <v>8</v>
      </c>
      <c r="B11" s="134" t="s">
        <v>32</v>
      </c>
      <c r="C11" s="133" t="s">
        <v>458</v>
      </c>
      <c r="D11" s="133" t="s">
        <v>209</v>
      </c>
      <c r="E11" s="135" t="s">
        <v>292</v>
      </c>
      <c r="F11" s="135">
        <v>18</v>
      </c>
      <c r="G11" s="135"/>
    </row>
    <row r="12" spans="1:7" ht="25.05" customHeight="1">
      <c r="A12" s="133">
        <v>9</v>
      </c>
      <c r="B12" s="134" t="s">
        <v>32</v>
      </c>
      <c r="C12" s="133" t="s">
        <v>458</v>
      </c>
      <c r="D12" s="133" t="s">
        <v>209</v>
      </c>
      <c r="E12" s="135" t="s">
        <v>217</v>
      </c>
      <c r="F12" s="135">
        <v>55</v>
      </c>
      <c r="G12" s="135"/>
    </row>
    <row r="13" spans="1:7" ht="25.05" customHeight="1">
      <c r="A13" s="133">
        <v>10</v>
      </c>
      <c r="B13" s="134" t="s">
        <v>32</v>
      </c>
      <c r="C13" s="133" t="s">
        <v>458</v>
      </c>
      <c r="D13" s="133" t="s">
        <v>209</v>
      </c>
      <c r="E13" s="135" t="s">
        <v>218</v>
      </c>
      <c r="F13" s="135">
        <v>10</v>
      </c>
      <c r="G13" s="135"/>
    </row>
    <row r="14" spans="1:7" ht="25.05" customHeight="1">
      <c r="A14" s="133">
        <v>11</v>
      </c>
      <c r="B14" s="134" t="s">
        <v>32</v>
      </c>
      <c r="C14" s="133" t="s">
        <v>458</v>
      </c>
      <c r="D14" s="130" t="s">
        <v>219</v>
      </c>
      <c r="E14" s="136" t="s">
        <v>220</v>
      </c>
      <c r="F14" s="136">
        <f>SUM(F4:F13)</f>
        <v>261</v>
      </c>
      <c r="G14" s="136"/>
    </row>
    <row r="15" spans="1:7" ht="25.05" customHeight="1">
      <c r="A15" s="133">
        <v>12</v>
      </c>
      <c r="B15" s="134" t="s">
        <v>32</v>
      </c>
      <c r="C15" s="133" t="s">
        <v>458</v>
      </c>
      <c r="D15" s="133" t="s">
        <v>401</v>
      </c>
      <c r="E15" s="135" t="s">
        <v>402</v>
      </c>
      <c r="F15" s="135">
        <v>34</v>
      </c>
      <c r="G15" s="135"/>
    </row>
    <row r="16" spans="1:7" ht="25.05" customHeight="1">
      <c r="A16" s="133">
        <v>13</v>
      </c>
      <c r="B16" s="134" t="s">
        <v>32</v>
      </c>
      <c r="C16" s="133" t="s">
        <v>458</v>
      </c>
      <c r="D16" s="133" t="s">
        <v>401</v>
      </c>
      <c r="E16" s="135" t="s">
        <v>403</v>
      </c>
      <c r="F16" s="135">
        <v>34</v>
      </c>
      <c r="G16" s="135"/>
    </row>
    <row r="17" spans="1:7" ht="25.05" customHeight="1">
      <c r="A17" s="133">
        <v>14</v>
      </c>
      <c r="B17" s="134" t="s">
        <v>32</v>
      </c>
      <c r="C17" s="133" t="s">
        <v>458</v>
      </c>
      <c r="D17" s="133" t="s">
        <v>401</v>
      </c>
      <c r="E17" s="135" t="s">
        <v>404</v>
      </c>
      <c r="F17" s="135">
        <v>140</v>
      </c>
      <c r="G17" s="135"/>
    </row>
    <row r="18" spans="1:7" ht="25.05" customHeight="1">
      <c r="A18" s="133">
        <v>15</v>
      </c>
      <c r="B18" s="134" t="s">
        <v>32</v>
      </c>
      <c r="C18" s="133" t="s">
        <v>458</v>
      </c>
      <c r="D18" s="133" t="s">
        <v>401</v>
      </c>
      <c r="E18" s="135" t="s">
        <v>405</v>
      </c>
      <c r="F18" s="135">
        <v>60</v>
      </c>
      <c r="G18" s="135"/>
    </row>
    <row r="19" spans="1:7" ht="25.05" customHeight="1">
      <c r="A19" s="133">
        <v>16</v>
      </c>
      <c r="B19" s="134" t="s">
        <v>32</v>
      </c>
      <c r="C19" s="133" t="s">
        <v>458</v>
      </c>
      <c r="D19" s="133" t="s">
        <v>401</v>
      </c>
      <c r="E19" s="135" t="s">
        <v>406</v>
      </c>
      <c r="F19" s="135">
        <v>20</v>
      </c>
      <c r="G19" s="135"/>
    </row>
    <row r="20" spans="1:7" ht="25.05" customHeight="1">
      <c r="A20" s="133">
        <v>17</v>
      </c>
      <c r="B20" s="134" t="s">
        <v>32</v>
      </c>
      <c r="C20" s="133" t="s">
        <v>458</v>
      </c>
      <c r="D20" s="133" t="s">
        <v>401</v>
      </c>
      <c r="E20" s="135" t="s">
        <v>459</v>
      </c>
      <c r="F20" s="135">
        <v>200</v>
      </c>
      <c r="G20" s="135"/>
    </row>
    <row r="21" spans="1:7" ht="25.05" customHeight="1">
      <c r="A21" s="133">
        <v>18</v>
      </c>
      <c r="B21" s="134" t="s">
        <v>32</v>
      </c>
      <c r="C21" s="133" t="s">
        <v>458</v>
      </c>
      <c r="D21" s="133" t="s">
        <v>401</v>
      </c>
      <c r="E21" s="135" t="s">
        <v>460</v>
      </c>
      <c r="F21" s="135">
        <v>16</v>
      </c>
      <c r="G21" s="135"/>
    </row>
    <row r="22" spans="1:7" ht="25.05" customHeight="1">
      <c r="A22" s="133">
        <v>19</v>
      </c>
      <c r="B22" s="134" t="s">
        <v>32</v>
      </c>
      <c r="C22" s="133" t="s">
        <v>458</v>
      </c>
      <c r="D22" s="130" t="s">
        <v>219</v>
      </c>
      <c r="E22" s="136" t="s">
        <v>409</v>
      </c>
      <c r="F22" s="136">
        <f>SUM(F15:F21)</f>
        <v>504</v>
      </c>
      <c r="G22" s="136"/>
    </row>
    <row r="23" spans="1:7" ht="25.05" customHeight="1">
      <c r="A23" s="133">
        <v>20</v>
      </c>
      <c r="B23" s="134" t="s">
        <v>32</v>
      </c>
      <c r="C23" s="133" t="s">
        <v>458</v>
      </c>
      <c r="D23" s="133" t="s">
        <v>221</v>
      </c>
      <c r="E23" s="135" t="s">
        <v>222</v>
      </c>
      <c r="F23" s="135">
        <v>14</v>
      </c>
      <c r="G23" s="135"/>
    </row>
    <row r="24" spans="1:7" ht="25.05" customHeight="1">
      <c r="A24" s="133">
        <v>21</v>
      </c>
      <c r="B24" s="134" t="s">
        <v>32</v>
      </c>
      <c r="C24" s="133" t="s">
        <v>458</v>
      </c>
      <c r="D24" s="133" t="s">
        <v>221</v>
      </c>
      <c r="E24" s="135" t="s">
        <v>461</v>
      </c>
      <c r="F24" s="135">
        <v>22</v>
      </c>
      <c r="G24" s="135"/>
    </row>
    <row r="25" spans="1:7" ht="25.05" customHeight="1">
      <c r="A25" s="133">
        <v>22</v>
      </c>
      <c r="B25" s="134" t="s">
        <v>32</v>
      </c>
      <c r="C25" s="133" t="s">
        <v>458</v>
      </c>
      <c r="D25" s="133" t="s">
        <v>221</v>
      </c>
      <c r="E25" s="135" t="s">
        <v>462</v>
      </c>
      <c r="F25" s="135">
        <v>12</v>
      </c>
      <c r="G25" s="135"/>
    </row>
    <row r="26" spans="1:7" ht="25.05" customHeight="1">
      <c r="A26" s="133">
        <v>23</v>
      </c>
      <c r="B26" s="134" t="s">
        <v>32</v>
      </c>
      <c r="C26" s="133" t="s">
        <v>458</v>
      </c>
      <c r="D26" s="133" t="s">
        <v>221</v>
      </c>
      <c r="E26" s="135" t="s">
        <v>224</v>
      </c>
      <c r="F26" s="135">
        <v>9</v>
      </c>
      <c r="G26" s="135"/>
    </row>
    <row r="27" spans="1:7" ht="25.05" customHeight="1">
      <c r="A27" s="133">
        <v>24</v>
      </c>
      <c r="B27" s="134" t="s">
        <v>32</v>
      </c>
      <c r="C27" s="133" t="s">
        <v>458</v>
      </c>
      <c r="D27" s="133" t="s">
        <v>221</v>
      </c>
      <c r="E27" s="135" t="s">
        <v>225</v>
      </c>
      <c r="F27" s="135">
        <v>20</v>
      </c>
      <c r="G27" s="135"/>
    </row>
    <row r="28" spans="1:7" ht="25.05" customHeight="1">
      <c r="A28" s="133">
        <v>25</v>
      </c>
      <c r="B28" s="134" t="s">
        <v>32</v>
      </c>
      <c r="C28" s="133" t="s">
        <v>458</v>
      </c>
      <c r="D28" s="133" t="s">
        <v>221</v>
      </c>
      <c r="E28" s="135" t="s">
        <v>226</v>
      </c>
      <c r="F28" s="135">
        <v>22</v>
      </c>
      <c r="G28" s="135"/>
    </row>
    <row r="29" spans="1:7" ht="25.05" customHeight="1">
      <c r="A29" s="133">
        <v>26</v>
      </c>
      <c r="B29" s="134" t="s">
        <v>32</v>
      </c>
      <c r="C29" s="133" t="s">
        <v>458</v>
      </c>
      <c r="D29" s="133" t="s">
        <v>221</v>
      </c>
      <c r="E29" s="135" t="s">
        <v>391</v>
      </c>
      <c r="F29" s="135">
        <v>20</v>
      </c>
      <c r="G29" s="135"/>
    </row>
    <row r="30" spans="1:7" ht="25.05" customHeight="1">
      <c r="A30" s="133">
        <v>27</v>
      </c>
      <c r="B30" s="134" t="s">
        <v>32</v>
      </c>
      <c r="C30" s="133" t="s">
        <v>458</v>
      </c>
      <c r="D30" s="130" t="s">
        <v>219</v>
      </c>
      <c r="E30" s="136" t="s">
        <v>228</v>
      </c>
      <c r="F30" s="137">
        <f>SUM(F23:F29)</f>
        <v>119</v>
      </c>
      <c r="G30" s="136"/>
    </row>
    <row r="31" spans="1:7" ht="25.05" customHeight="1">
      <c r="A31" s="133">
        <v>28</v>
      </c>
      <c r="B31" s="134" t="s">
        <v>32</v>
      </c>
      <c r="C31" s="133" t="s">
        <v>458</v>
      </c>
      <c r="D31" s="133" t="s">
        <v>229</v>
      </c>
      <c r="E31" s="135" t="s">
        <v>230</v>
      </c>
      <c r="F31" s="135">
        <v>14</v>
      </c>
      <c r="G31" s="135"/>
    </row>
    <row r="32" spans="1:7" ht="25.05" customHeight="1">
      <c r="A32" s="133">
        <v>29</v>
      </c>
      <c r="B32" s="134" t="s">
        <v>32</v>
      </c>
      <c r="C32" s="133" t="s">
        <v>458</v>
      </c>
      <c r="D32" s="133" t="s">
        <v>229</v>
      </c>
      <c r="E32" s="135" t="s">
        <v>231</v>
      </c>
      <c r="F32" s="135">
        <v>45</v>
      </c>
      <c r="G32" s="135"/>
    </row>
    <row r="33" spans="1:7" ht="25.05" customHeight="1">
      <c r="A33" s="133">
        <v>30</v>
      </c>
      <c r="B33" s="134" t="s">
        <v>32</v>
      </c>
      <c r="C33" s="133" t="s">
        <v>458</v>
      </c>
      <c r="D33" s="133" t="s">
        <v>229</v>
      </c>
      <c r="E33" s="135" t="s">
        <v>385</v>
      </c>
      <c r="F33" s="135">
        <v>18</v>
      </c>
      <c r="G33" s="135"/>
    </row>
    <row r="34" spans="1:7" ht="25.05" customHeight="1">
      <c r="A34" s="133">
        <v>31</v>
      </c>
      <c r="B34" s="134" t="s">
        <v>32</v>
      </c>
      <c r="C34" s="133" t="s">
        <v>458</v>
      </c>
      <c r="D34" s="133" t="s">
        <v>229</v>
      </c>
      <c r="E34" s="135" t="s">
        <v>412</v>
      </c>
      <c r="F34" s="135">
        <v>40</v>
      </c>
      <c r="G34" s="135"/>
    </row>
    <row r="35" spans="1:7" ht="25.05" customHeight="1">
      <c r="A35" s="133">
        <v>32</v>
      </c>
      <c r="B35" s="134" t="s">
        <v>32</v>
      </c>
      <c r="C35" s="133" t="s">
        <v>458</v>
      </c>
      <c r="D35" s="133" t="s">
        <v>229</v>
      </c>
      <c r="E35" s="135" t="s">
        <v>315</v>
      </c>
      <c r="F35" s="135">
        <v>25</v>
      </c>
      <c r="G35" s="135"/>
    </row>
    <row r="36" spans="1:7" ht="25.05" customHeight="1">
      <c r="A36" s="133">
        <v>33</v>
      </c>
      <c r="B36" s="134" t="s">
        <v>32</v>
      </c>
      <c r="C36" s="133" t="s">
        <v>458</v>
      </c>
      <c r="D36" s="133" t="s">
        <v>229</v>
      </c>
      <c r="E36" s="135" t="s">
        <v>463</v>
      </c>
      <c r="F36" s="135">
        <v>30</v>
      </c>
      <c r="G36" s="135"/>
    </row>
    <row r="37" spans="1:7" ht="25.05" customHeight="1">
      <c r="A37" s="133">
        <v>34</v>
      </c>
      <c r="B37" s="134" t="s">
        <v>32</v>
      </c>
      <c r="C37" s="133" t="s">
        <v>458</v>
      </c>
      <c r="D37" s="133" t="s">
        <v>229</v>
      </c>
      <c r="E37" s="135" t="s">
        <v>464</v>
      </c>
      <c r="F37" s="135">
        <v>20</v>
      </c>
      <c r="G37" s="135"/>
    </row>
    <row r="38" spans="1:7" ht="25.05" customHeight="1">
      <c r="A38" s="133">
        <v>35</v>
      </c>
      <c r="B38" s="134" t="s">
        <v>32</v>
      </c>
      <c r="C38" s="133" t="s">
        <v>458</v>
      </c>
      <c r="D38" s="133" t="s">
        <v>229</v>
      </c>
      <c r="E38" s="135" t="s">
        <v>415</v>
      </c>
      <c r="F38" s="135">
        <v>120</v>
      </c>
      <c r="G38" s="135"/>
    </row>
    <row r="39" spans="1:7" ht="25.05" customHeight="1">
      <c r="A39" s="133">
        <v>36</v>
      </c>
      <c r="B39" s="134" t="s">
        <v>32</v>
      </c>
      <c r="C39" s="133" t="s">
        <v>458</v>
      </c>
      <c r="D39" s="133" t="s">
        <v>229</v>
      </c>
      <c r="E39" s="135" t="s">
        <v>416</v>
      </c>
      <c r="F39" s="135">
        <v>8</v>
      </c>
      <c r="G39" s="135"/>
    </row>
    <row r="40" spans="1:7" ht="25.05" customHeight="1">
      <c r="A40" s="133">
        <v>37</v>
      </c>
      <c r="B40" s="134" t="s">
        <v>32</v>
      </c>
      <c r="C40" s="133" t="s">
        <v>458</v>
      </c>
      <c r="D40" s="133" t="s">
        <v>229</v>
      </c>
      <c r="E40" s="135" t="s">
        <v>417</v>
      </c>
      <c r="F40" s="135">
        <v>10</v>
      </c>
      <c r="G40" s="135"/>
    </row>
    <row r="41" spans="1:7" ht="25.05" customHeight="1">
      <c r="A41" s="133">
        <v>38</v>
      </c>
      <c r="B41" s="134" t="s">
        <v>32</v>
      </c>
      <c r="C41" s="133" t="s">
        <v>458</v>
      </c>
      <c r="D41" s="133" t="s">
        <v>229</v>
      </c>
      <c r="E41" s="135" t="s">
        <v>431</v>
      </c>
      <c r="F41" s="135">
        <v>12</v>
      </c>
      <c r="G41" s="135"/>
    </row>
    <row r="42" spans="1:7" ht="25.05" customHeight="1">
      <c r="A42" s="133">
        <v>39</v>
      </c>
      <c r="B42" s="134" t="s">
        <v>32</v>
      </c>
      <c r="C42" s="133" t="s">
        <v>458</v>
      </c>
      <c r="D42" s="130" t="s">
        <v>219</v>
      </c>
      <c r="E42" s="136" t="s">
        <v>238</v>
      </c>
      <c r="F42" s="137">
        <f>SUM(F31:F41)</f>
        <v>342</v>
      </c>
      <c r="G42" s="136"/>
    </row>
    <row r="43" spans="1:7" ht="25.05" customHeight="1">
      <c r="A43" s="133">
        <v>40</v>
      </c>
      <c r="B43" s="134" t="s">
        <v>32</v>
      </c>
      <c r="C43" s="133" t="s">
        <v>458</v>
      </c>
      <c r="D43" s="133" t="s">
        <v>239</v>
      </c>
      <c r="E43" s="135" t="s">
        <v>240</v>
      </c>
      <c r="F43" s="135">
        <v>70</v>
      </c>
      <c r="G43" s="135"/>
    </row>
    <row r="44" spans="1:7" ht="25.05" customHeight="1">
      <c r="A44" s="133">
        <v>41</v>
      </c>
      <c r="B44" s="134" t="s">
        <v>32</v>
      </c>
      <c r="C44" s="133" t="s">
        <v>458</v>
      </c>
      <c r="D44" s="133" t="s">
        <v>239</v>
      </c>
      <c r="E44" s="135" t="s">
        <v>241</v>
      </c>
      <c r="F44" s="135">
        <v>60</v>
      </c>
      <c r="G44" s="135"/>
    </row>
    <row r="45" spans="1:7" ht="25.05" customHeight="1">
      <c r="A45" s="133">
        <v>42</v>
      </c>
      <c r="B45" s="134" t="s">
        <v>32</v>
      </c>
      <c r="C45" s="133" t="s">
        <v>458</v>
      </c>
      <c r="D45" s="130" t="s">
        <v>219</v>
      </c>
      <c r="E45" s="136" t="s">
        <v>242</v>
      </c>
      <c r="F45" s="136">
        <f>SUM(F43:F44)</f>
        <v>130</v>
      </c>
      <c r="G45" s="136"/>
    </row>
    <row r="46" spans="1:7" ht="25.05" customHeight="1">
      <c r="A46" s="133">
        <v>43</v>
      </c>
      <c r="B46" s="134" t="s">
        <v>32</v>
      </c>
      <c r="C46" s="133" t="s">
        <v>458</v>
      </c>
      <c r="D46" s="133" t="s">
        <v>259</v>
      </c>
      <c r="E46" s="135" t="s">
        <v>449</v>
      </c>
      <c r="F46" s="135">
        <v>10</v>
      </c>
      <c r="G46" s="135"/>
    </row>
    <row r="47" spans="1:7" ht="25.05" customHeight="1">
      <c r="A47" s="133">
        <v>44</v>
      </c>
      <c r="B47" s="134" t="s">
        <v>32</v>
      </c>
      <c r="C47" s="133" t="s">
        <v>458</v>
      </c>
      <c r="D47" s="133" t="s">
        <v>259</v>
      </c>
      <c r="E47" s="138" t="s">
        <v>450</v>
      </c>
      <c r="F47" s="135">
        <v>45</v>
      </c>
      <c r="G47" s="135"/>
    </row>
    <row r="48" spans="1:7" ht="25.05" customHeight="1">
      <c r="A48" s="133">
        <v>45</v>
      </c>
      <c r="B48" s="134" t="s">
        <v>32</v>
      </c>
      <c r="C48" s="133" t="s">
        <v>458</v>
      </c>
      <c r="D48" s="130" t="s">
        <v>219</v>
      </c>
      <c r="E48" s="139" t="s">
        <v>261</v>
      </c>
      <c r="F48" s="136">
        <f>SUM(F46:F47)</f>
        <v>55</v>
      </c>
      <c r="G48" s="136"/>
    </row>
    <row r="49" spans="1:7" ht="25.05" customHeight="1">
      <c r="A49" s="133">
        <v>46</v>
      </c>
      <c r="B49" s="134" t="s">
        <v>32</v>
      </c>
      <c r="C49" s="133" t="s">
        <v>458</v>
      </c>
      <c r="D49" s="133" t="s">
        <v>243</v>
      </c>
      <c r="E49" s="135" t="s">
        <v>465</v>
      </c>
      <c r="F49" s="135">
        <v>11.4</v>
      </c>
      <c r="G49" s="135"/>
    </row>
    <row r="50" spans="1:7" ht="25.05" customHeight="1">
      <c r="A50" s="133">
        <v>47</v>
      </c>
      <c r="B50" s="134" t="s">
        <v>32</v>
      </c>
      <c r="C50" s="133" t="s">
        <v>458</v>
      </c>
      <c r="D50" s="133" t="s">
        <v>243</v>
      </c>
      <c r="E50" s="135" t="s">
        <v>466</v>
      </c>
      <c r="F50" s="135">
        <v>11.4</v>
      </c>
      <c r="G50" s="135"/>
    </row>
    <row r="51" spans="1:7" ht="25.05" customHeight="1">
      <c r="A51" s="133">
        <v>48</v>
      </c>
      <c r="B51" s="134" t="s">
        <v>32</v>
      </c>
      <c r="C51" s="133" t="s">
        <v>458</v>
      </c>
      <c r="D51" s="133" t="s">
        <v>243</v>
      </c>
      <c r="E51" s="135" t="s">
        <v>467</v>
      </c>
      <c r="F51" s="135">
        <v>19.8</v>
      </c>
      <c r="G51" s="135"/>
    </row>
    <row r="52" spans="1:7" ht="25.05" customHeight="1">
      <c r="A52" s="133">
        <v>49</v>
      </c>
      <c r="B52" s="134" t="s">
        <v>32</v>
      </c>
      <c r="C52" s="133" t="s">
        <v>458</v>
      </c>
      <c r="D52" s="133" t="s">
        <v>243</v>
      </c>
      <c r="E52" s="135" t="s">
        <v>247</v>
      </c>
      <c r="F52" s="135">
        <v>2</v>
      </c>
      <c r="G52" s="135"/>
    </row>
    <row r="53" spans="1:7" ht="25.05" customHeight="1">
      <c r="A53" s="133">
        <v>50</v>
      </c>
      <c r="B53" s="134" t="s">
        <v>32</v>
      </c>
      <c r="C53" s="133" t="s">
        <v>458</v>
      </c>
      <c r="D53" s="130" t="s">
        <v>219</v>
      </c>
      <c r="E53" s="136" t="s">
        <v>248</v>
      </c>
      <c r="F53" s="136">
        <f>SUM(F49:F52)</f>
        <v>44.6</v>
      </c>
      <c r="G53" s="136"/>
    </row>
    <row r="54" spans="1:7" ht="25.05" customHeight="1">
      <c r="A54" s="133">
        <v>51</v>
      </c>
      <c r="B54" s="134" t="s">
        <v>32</v>
      </c>
      <c r="C54" s="133" t="s">
        <v>458</v>
      </c>
      <c r="D54" s="140" t="s">
        <v>249</v>
      </c>
      <c r="E54" s="135" t="s">
        <v>281</v>
      </c>
      <c r="F54" s="135">
        <v>10</v>
      </c>
      <c r="G54" s="135"/>
    </row>
    <row r="55" spans="1:7" ht="25.05" customHeight="1">
      <c r="A55" s="133">
        <v>52</v>
      </c>
      <c r="B55" s="134" t="s">
        <v>32</v>
      </c>
      <c r="C55" s="133" t="s">
        <v>458</v>
      </c>
      <c r="D55" s="140" t="s">
        <v>249</v>
      </c>
      <c r="E55" s="135" t="s">
        <v>282</v>
      </c>
      <c r="F55" s="135">
        <v>10</v>
      </c>
      <c r="G55" s="135"/>
    </row>
    <row r="56" spans="1:7" ht="25.05" customHeight="1">
      <c r="A56" s="133">
        <v>53</v>
      </c>
      <c r="B56" s="134" t="s">
        <v>32</v>
      </c>
      <c r="C56" s="133" t="s">
        <v>458</v>
      </c>
      <c r="D56" s="140" t="s">
        <v>249</v>
      </c>
      <c r="E56" s="135" t="s">
        <v>368</v>
      </c>
      <c r="F56" s="135">
        <v>45</v>
      </c>
      <c r="G56" s="135"/>
    </row>
    <row r="57" spans="1:7" ht="25.05" customHeight="1">
      <c r="A57" s="133">
        <v>54</v>
      </c>
      <c r="B57" s="134" t="s">
        <v>32</v>
      </c>
      <c r="C57" s="133" t="s">
        <v>458</v>
      </c>
      <c r="D57" s="140" t="s">
        <v>249</v>
      </c>
      <c r="E57" s="135" t="s">
        <v>284</v>
      </c>
      <c r="F57" s="135">
        <v>10</v>
      </c>
      <c r="G57" s="135"/>
    </row>
    <row r="58" spans="1:7" ht="25.05" customHeight="1">
      <c r="A58" s="133">
        <v>55</v>
      </c>
      <c r="B58" s="134" t="s">
        <v>32</v>
      </c>
      <c r="C58" s="133" t="s">
        <v>458</v>
      </c>
      <c r="D58" s="140" t="s">
        <v>249</v>
      </c>
      <c r="E58" s="135" t="s">
        <v>454</v>
      </c>
      <c r="F58" s="135">
        <v>10</v>
      </c>
      <c r="G58" s="135"/>
    </row>
    <row r="59" spans="1:7" s="125" customFormat="1" ht="25.05" customHeight="1">
      <c r="A59" s="133">
        <v>56</v>
      </c>
      <c r="B59" s="134" t="s">
        <v>32</v>
      </c>
      <c r="C59" s="133" t="s">
        <v>458</v>
      </c>
      <c r="D59" s="133" t="s">
        <v>249</v>
      </c>
      <c r="E59" s="135" t="s">
        <v>393</v>
      </c>
      <c r="F59" s="141">
        <v>30</v>
      </c>
      <c r="G59" s="135"/>
    </row>
    <row r="60" spans="1:7" s="125" customFormat="1" ht="25.05" customHeight="1">
      <c r="A60" s="133">
        <v>57</v>
      </c>
      <c r="B60" s="134" t="s">
        <v>32</v>
      </c>
      <c r="C60" s="133" t="s">
        <v>458</v>
      </c>
      <c r="D60" s="133" t="s">
        <v>249</v>
      </c>
      <c r="E60" s="135" t="s">
        <v>394</v>
      </c>
      <c r="F60" s="141">
        <v>20</v>
      </c>
      <c r="G60" s="135"/>
    </row>
    <row r="61" spans="1:7" ht="25.05" customHeight="1">
      <c r="A61" s="133">
        <v>58</v>
      </c>
      <c r="B61" s="134" t="s">
        <v>32</v>
      </c>
      <c r="C61" s="133" t="s">
        <v>458</v>
      </c>
      <c r="D61" s="130" t="s">
        <v>219</v>
      </c>
      <c r="E61" s="136" t="s">
        <v>255</v>
      </c>
      <c r="F61" s="136">
        <f>SUM(F54:F60)</f>
        <v>135</v>
      </c>
      <c r="G61" s="136"/>
    </row>
    <row r="62" spans="1:7" ht="25.05" customHeight="1">
      <c r="A62" s="133">
        <v>59</v>
      </c>
      <c r="B62" s="134" t="s">
        <v>32</v>
      </c>
      <c r="C62" s="133" t="s">
        <v>458</v>
      </c>
      <c r="D62" s="138" t="s">
        <v>256</v>
      </c>
      <c r="E62" s="138" t="s">
        <v>286</v>
      </c>
      <c r="F62" s="142">
        <v>10</v>
      </c>
      <c r="G62" s="135"/>
    </row>
    <row r="63" spans="1:7" ht="25.05" customHeight="1">
      <c r="A63" s="133">
        <v>60</v>
      </c>
      <c r="B63" s="134" t="s">
        <v>32</v>
      </c>
      <c r="C63" s="133" t="s">
        <v>458</v>
      </c>
      <c r="D63" s="130" t="s">
        <v>219</v>
      </c>
      <c r="E63" s="136" t="s">
        <v>258</v>
      </c>
      <c r="F63" s="136">
        <f>SUM(F62)</f>
        <v>10</v>
      </c>
      <c r="G63" s="136"/>
    </row>
    <row r="64" spans="1:7" ht="25.05" customHeight="1">
      <c r="A64" s="133">
        <v>61</v>
      </c>
      <c r="B64" s="134" t="s">
        <v>32</v>
      </c>
      <c r="C64" s="133" t="s">
        <v>458</v>
      </c>
      <c r="D64" s="133" t="s">
        <v>262</v>
      </c>
      <c r="E64" s="135" t="s">
        <v>425</v>
      </c>
      <c r="F64" s="135">
        <v>255</v>
      </c>
      <c r="G64" s="135"/>
    </row>
    <row r="65" spans="1:7" ht="25.05" customHeight="1">
      <c r="A65" s="133">
        <v>62</v>
      </c>
      <c r="B65" s="134" t="s">
        <v>32</v>
      </c>
      <c r="C65" s="133" t="s">
        <v>458</v>
      </c>
      <c r="D65" s="133" t="s">
        <v>262</v>
      </c>
      <c r="E65" s="135" t="s">
        <v>264</v>
      </c>
      <c r="F65" s="135">
        <v>40</v>
      </c>
      <c r="G65" s="135"/>
    </row>
    <row r="66" spans="1:7" ht="25.05" customHeight="1">
      <c r="A66" s="133">
        <v>63</v>
      </c>
      <c r="B66" s="134" t="s">
        <v>32</v>
      </c>
      <c r="C66" s="133" t="s">
        <v>458</v>
      </c>
      <c r="D66" s="133" t="s">
        <v>262</v>
      </c>
      <c r="E66" s="135" t="s">
        <v>265</v>
      </c>
      <c r="F66" s="135">
        <v>40</v>
      </c>
      <c r="G66" s="135"/>
    </row>
    <row r="67" spans="1:7" ht="25.05" customHeight="1">
      <c r="A67" s="133">
        <v>64</v>
      </c>
      <c r="B67" s="134" t="s">
        <v>32</v>
      </c>
      <c r="C67" s="133" t="s">
        <v>458</v>
      </c>
      <c r="D67" s="130" t="s">
        <v>219</v>
      </c>
      <c r="E67" s="136" t="s">
        <v>266</v>
      </c>
      <c r="F67" s="136">
        <f>SUM(F64:F66)</f>
        <v>335</v>
      </c>
      <c r="G67" s="136"/>
    </row>
    <row r="68" spans="1:7" ht="25.05" customHeight="1">
      <c r="A68" s="133">
        <v>65</v>
      </c>
      <c r="B68" s="134" t="s">
        <v>32</v>
      </c>
      <c r="C68" s="133" t="s">
        <v>458</v>
      </c>
      <c r="D68" s="130" t="s">
        <v>267</v>
      </c>
      <c r="E68" s="137" t="s">
        <v>468</v>
      </c>
      <c r="F68" s="137">
        <v>1936</v>
      </c>
      <c r="G68" s="136"/>
    </row>
    <row r="69" spans="1:7" ht="25.05" customHeight="1">
      <c r="A69" s="225" t="s">
        <v>469</v>
      </c>
      <c r="B69" s="226"/>
      <c r="C69" s="226"/>
      <c r="D69" s="226"/>
      <c r="E69" s="226"/>
      <c r="F69" s="226"/>
      <c r="G69" s="227"/>
    </row>
  </sheetData>
  <autoFilter ref="A3:G69" xr:uid="{00000000-0009-0000-0000-00000F000000}"/>
  <mergeCells count="3">
    <mergeCell ref="A1:G1"/>
    <mergeCell ref="A2:G2"/>
    <mergeCell ref="A69:G69"/>
  </mergeCells>
  <phoneticPr fontId="23" type="noConversion"/>
  <pageMargins left="0.59055118110236204" right="0.196850393700787" top="0.31496062992126" bottom="0.511811023622047" header="0.31496062992126" footer="0.31496062992126"/>
  <pageSetup paperSize="9" orientation="portrait" r:id="rId1"/>
  <headerFooter>
    <oddFooter>&amp;C&amp;8第 &amp;P 页，共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19"/>
  <sheetViews>
    <sheetView view="pageBreakPreview" zoomScale="115" zoomScaleNormal="100" workbookViewId="0">
      <selection activeCell="I21" sqref="I21"/>
    </sheetView>
  </sheetViews>
  <sheetFormatPr defaultColWidth="9" defaultRowHeight="18" customHeight="1"/>
  <cols>
    <col min="1" max="1" width="6.06640625" style="1" customWidth="1"/>
    <col min="2" max="2" width="9.53125" style="1" customWidth="1"/>
    <col min="3" max="3" width="9.796875" style="1" customWidth="1"/>
    <col min="4" max="4" width="10.46484375" style="1" customWidth="1"/>
    <col min="5" max="5" width="34.19921875" style="1" customWidth="1"/>
    <col min="6" max="6" width="7.73046875" style="78" customWidth="1"/>
    <col min="7" max="7" width="7.33203125" style="78" customWidth="1"/>
    <col min="8" max="8" width="11.53125" style="1" customWidth="1"/>
  </cols>
  <sheetData>
    <row r="1" spans="1:9" ht="25.05" customHeight="1">
      <c r="A1" s="215" t="s">
        <v>470</v>
      </c>
      <c r="B1" s="215"/>
      <c r="C1" s="215"/>
      <c r="D1" s="215"/>
      <c r="E1" s="215"/>
      <c r="F1" s="215"/>
      <c r="G1" s="215"/>
      <c r="H1" s="215"/>
      <c r="I1" s="123"/>
    </row>
    <row r="2" spans="1:9" ht="25.05" customHeight="1">
      <c r="A2" s="228" t="s">
        <v>471</v>
      </c>
      <c r="B2" s="228"/>
      <c r="C2" s="228"/>
      <c r="D2" s="228"/>
      <c r="E2" s="228"/>
      <c r="F2" s="228"/>
      <c r="G2" s="228"/>
      <c r="H2" s="228"/>
      <c r="I2" s="124"/>
    </row>
    <row r="3" spans="1:9" s="91" customFormat="1" ht="28.5" customHeight="1">
      <c r="A3" s="5" t="s">
        <v>203</v>
      </c>
      <c r="B3" s="121" t="s">
        <v>204</v>
      </c>
      <c r="C3" s="5" t="s">
        <v>205</v>
      </c>
      <c r="D3" s="5" t="s">
        <v>206</v>
      </c>
      <c r="E3" s="5" t="s">
        <v>207</v>
      </c>
      <c r="F3" s="121" t="s">
        <v>472</v>
      </c>
      <c r="G3" s="121" t="s">
        <v>473</v>
      </c>
      <c r="H3" s="121" t="s">
        <v>11</v>
      </c>
    </row>
    <row r="4" spans="1:9" ht="25.05" customHeight="1">
      <c r="A4" s="6">
        <v>1</v>
      </c>
      <c r="B4" s="122"/>
      <c r="C4" s="6"/>
      <c r="D4" s="6" t="s">
        <v>209</v>
      </c>
      <c r="E4" s="8" t="s">
        <v>210</v>
      </c>
      <c r="F4" s="25">
        <v>19</v>
      </c>
      <c r="G4" s="25">
        <v>19</v>
      </c>
      <c r="H4" s="8"/>
    </row>
    <row r="5" spans="1:9" ht="25.05" customHeight="1">
      <c r="A5" s="6">
        <v>2</v>
      </c>
      <c r="B5" s="6"/>
      <c r="C5" s="6"/>
      <c r="D5" s="6" t="s">
        <v>209</v>
      </c>
      <c r="E5" s="8" t="s">
        <v>211</v>
      </c>
      <c r="F5" s="25">
        <v>15</v>
      </c>
      <c r="G5" s="25">
        <v>15</v>
      </c>
      <c r="H5" s="8"/>
    </row>
    <row r="6" spans="1:9" ht="25.05" customHeight="1">
      <c r="A6" s="6">
        <v>3</v>
      </c>
      <c r="B6" s="6"/>
      <c r="C6" s="6"/>
      <c r="D6" s="6" t="s">
        <v>209</v>
      </c>
      <c r="E6" s="8" t="s">
        <v>474</v>
      </c>
      <c r="F6" s="25">
        <v>30</v>
      </c>
      <c r="G6" s="25">
        <v>30</v>
      </c>
      <c r="H6" s="8"/>
    </row>
    <row r="7" spans="1:9" ht="25.05" customHeight="1">
      <c r="A7" s="6">
        <v>4</v>
      </c>
      <c r="B7" s="6"/>
      <c r="C7" s="6"/>
      <c r="D7" s="6" t="s">
        <v>209</v>
      </c>
      <c r="E7" s="8" t="s">
        <v>213</v>
      </c>
      <c r="F7" s="25">
        <v>25</v>
      </c>
      <c r="G7" s="25">
        <v>25</v>
      </c>
      <c r="H7" s="8"/>
    </row>
    <row r="8" spans="1:9" ht="25.05" customHeight="1">
      <c r="A8" s="6">
        <v>5</v>
      </c>
      <c r="B8" s="6"/>
      <c r="C8" s="6"/>
      <c r="D8" s="6" t="s">
        <v>209</v>
      </c>
      <c r="E8" s="8" t="s">
        <v>475</v>
      </c>
      <c r="F8" s="25">
        <v>25</v>
      </c>
      <c r="G8" s="25">
        <v>25</v>
      </c>
      <c r="H8" s="8"/>
    </row>
    <row r="9" spans="1:9" ht="25.05" customHeight="1">
      <c r="A9" s="6">
        <v>6</v>
      </c>
      <c r="B9" s="6"/>
      <c r="C9" s="6"/>
      <c r="D9" s="6" t="s">
        <v>209</v>
      </c>
      <c r="E9" s="8" t="s">
        <v>476</v>
      </c>
      <c r="F9" s="25">
        <v>25</v>
      </c>
      <c r="G9" s="25">
        <v>25</v>
      </c>
      <c r="H9" s="8"/>
    </row>
    <row r="10" spans="1:9" ht="25.05" customHeight="1">
      <c r="A10" s="6">
        <v>7</v>
      </c>
      <c r="B10" s="6"/>
      <c r="C10" s="6"/>
      <c r="D10" s="6" t="s">
        <v>209</v>
      </c>
      <c r="E10" s="8" t="s">
        <v>312</v>
      </c>
      <c r="F10" s="25">
        <v>10</v>
      </c>
      <c r="G10" s="25">
        <v>10</v>
      </c>
      <c r="H10" s="8"/>
    </row>
    <row r="11" spans="1:9" ht="25.05" customHeight="1">
      <c r="A11" s="6">
        <v>8</v>
      </c>
      <c r="B11" s="6"/>
      <c r="C11" s="6"/>
      <c r="D11" s="6" t="s">
        <v>209</v>
      </c>
      <c r="E11" s="8" t="s">
        <v>216</v>
      </c>
      <c r="F11" s="25">
        <v>35</v>
      </c>
      <c r="G11" s="25">
        <v>35</v>
      </c>
      <c r="H11" s="8"/>
    </row>
    <row r="12" spans="1:9" ht="25.05" customHeight="1">
      <c r="A12" s="6">
        <v>9</v>
      </c>
      <c r="B12" s="6"/>
      <c r="C12" s="6"/>
      <c r="D12" s="6" t="s">
        <v>209</v>
      </c>
      <c r="E12" s="8" t="s">
        <v>477</v>
      </c>
      <c r="F12" s="25">
        <v>10</v>
      </c>
      <c r="G12" s="25">
        <v>10</v>
      </c>
      <c r="H12" s="8"/>
    </row>
    <row r="13" spans="1:9" ht="25.05" customHeight="1">
      <c r="A13" s="6">
        <v>10</v>
      </c>
      <c r="B13" s="6"/>
      <c r="C13" s="6"/>
      <c r="D13" s="6" t="s">
        <v>209</v>
      </c>
      <c r="E13" s="8" t="s">
        <v>478</v>
      </c>
      <c r="F13" s="25">
        <v>55</v>
      </c>
      <c r="G13" s="25">
        <v>55</v>
      </c>
      <c r="H13" s="8"/>
    </row>
    <row r="14" spans="1:9" ht="25.05" customHeight="1">
      <c r="A14" s="6">
        <v>11</v>
      </c>
      <c r="B14" s="6"/>
      <c r="C14" s="6"/>
      <c r="D14" s="6" t="s">
        <v>209</v>
      </c>
      <c r="E14" s="8" t="s">
        <v>479</v>
      </c>
      <c r="F14" s="25">
        <v>10</v>
      </c>
      <c r="G14" s="25">
        <v>10</v>
      </c>
      <c r="H14" s="8"/>
    </row>
    <row r="15" spans="1:9" ht="34.5" customHeight="1">
      <c r="A15" s="6">
        <v>12</v>
      </c>
      <c r="B15" s="6"/>
      <c r="C15" s="6"/>
      <c r="D15" s="6" t="s">
        <v>209</v>
      </c>
      <c r="E15" s="11" t="s">
        <v>480</v>
      </c>
      <c r="F15" s="25">
        <v>50</v>
      </c>
      <c r="G15" s="25">
        <v>50</v>
      </c>
      <c r="H15" s="8"/>
    </row>
    <row r="16" spans="1:9" ht="25.05" customHeight="1">
      <c r="A16" s="6">
        <v>13</v>
      </c>
      <c r="B16" s="6"/>
      <c r="C16" s="6"/>
      <c r="D16" s="6" t="s">
        <v>209</v>
      </c>
      <c r="E16" s="8" t="s">
        <v>481</v>
      </c>
      <c r="F16" s="25">
        <v>10</v>
      </c>
      <c r="G16" s="25">
        <v>10</v>
      </c>
      <c r="H16" s="8"/>
    </row>
    <row r="17" spans="1:8" ht="28.5" customHeight="1">
      <c r="A17" s="6">
        <v>14</v>
      </c>
      <c r="B17" s="6"/>
      <c r="C17" s="6"/>
      <c r="D17" s="6" t="s">
        <v>209</v>
      </c>
      <c r="E17" s="8" t="s">
        <v>482</v>
      </c>
      <c r="F17" s="25">
        <v>25</v>
      </c>
      <c r="G17" s="25">
        <v>25</v>
      </c>
      <c r="H17" s="11" t="s">
        <v>483</v>
      </c>
    </row>
    <row r="18" spans="1:8" ht="25.05" customHeight="1">
      <c r="A18" s="6">
        <v>15</v>
      </c>
      <c r="B18" s="8"/>
      <c r="C18" s="8"/>
      <c r="D18" s="3" t="s">
        <v>267</v>
      </c>
      <c r="E18" s="9" t="s">
        <v>484</v>
      </c>
      <c r="F18" s="79">
        <f>SUM(F4:F17)</f>
        <v>344</v>
      </c>
      <c r="G18" s="79">
        <f>SUM(G4:G17)</f>
        <v>344</v>
      </c>
      <c r="H18" s="9"/>
    </row>
    <row r="19" spans="1:8" ht="25.05" customHeight="1">
      <c r="A19" s="219" t="s">
        <v>485</v>
      </c>
      <c r="B19" s="219"/>
      <c r="C19" s="219"/>
      <c r="D19" s="219"/>
      <c r="E19" s="219"/>
      <c r="F19" s="219"/>
      <c r="G19" s="219"/>
      <c r="H19" s="219"/>
    </row>
  </sheetData>
  <autoFilter ref="A3:H19" xr:uid="{00000000-0009-0000-0000-000010000000}"/>
  <mergeCells count="3">
    <mergeCell ref="A1:H1"/>
    <mergeCell ref="A2:H2"/>
    <mergeCell ref="A19:H19"/>
  </mergeCells>
  <phoneticPr fontId="23" type="noConversion"/>
  <pageMargins left="0.59055118110236204" right="0.14000000000000001" top="0.27559055118110198" bottom="0.511811023622047" header="0.31496062992126" footer="0.27559055118110198"/>
  <pageSetup paperSize="9" orientation="portrait" r:id="rId1"/>
  <headerFooter>
    <oddFooter>&amp;C&amp;8第 &amp;P 页，共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G52"/>
  <sheetViews>
    <sheetView view="pageBreakPreview" zoomScale="130" zoomScaleNormal="100" workbookViewId="0">
      <selection activeCell="H55" sqref="H55"/>
    </sheetView>
  </sheetViews>
  <sheetFormatPr defaultColWidth="9" defaultRowHeight="15.75"/>
  <cols>
    <col min="1" max="1" width="4.46484375" style="1" customWidth="1"/>
    <col min="2" max="2" width="8" style="2" customWidth="1"/>
    <col min="3" max="3" width="12.46484375" style="1" customWidth="1"/>
    <col min="4" max="4" width="11" style="1" customWidth="1"/>
    <col min="5" max="5" width="44.73046875" style="1" customWidth="1"/>
    <col min="6" max="6" width="6.9296875" style="78" customWidth="1"/>
    <col min="7" max="7" width="8.06640625" style="1" customWidth="1"/>
  </cols>
  <sheetData>
    <row r="1" spans="1:7" ht="25.05" customHeight="1">
      <c r="A1" s="215" t="s">
        <v>486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487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61</v>
      </c>
      <c r="C4" s="6" t="s">
        <v>62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61</v>
      </c>
      <c r="C5" s="6" t="s">
        <v>62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61</v>
      </c>
      <c r="C6" s="6" t="s">
        <v>62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61</v>
      </c>
      <c r="C7" s="6" t="s">
        <v>62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61</v>
      </c>
      <c r="C8" s="6" t="s">
        <v>62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61</v>
      </c>
      <c r="C9" s="6" t="s">
        <v>62</v>
      </c>
      <c r="D9" s="6" t="s">
        <v>209</v>
      </c>
      <c r="E9" s="8" t="s">
        <v>215</v>
      </c>
      <c r="F9" s="25">
        <v>10</v>
      </c>
      <c r="G9" s="8"/>
    </row>
    <row r="10" spans="1:7" ht="25.05" customHeight="1">
      <c r="A10" s="6">
        <v>7</v>
      </c>
      <c r="B10" s="7" t="s">
        <v>61</v>
      </c>
      <c r="C10" s="6" t="s">
        <v>62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61</v>
      </c>
      <c r="C11" s="6" t="s">
        <v>62</v>
      </c>
      <c r="D11" s="6" t="s">
        <v>209</v>
      </c>
      <c r="E11" s="8" t="s">
        <v>217</v>
      </c>
      <c r="F11" s="25">
        <v>55</v>
      </c>
      <c r="G11" s="8"/>
    </row>
    <row r="12" spans="1:7" ht="25.05" customHeight="1">
      <c r="A12" s="6">
        <v>9</v>
      </c>
      <c r="B12" s="7" t="s">
        <v>61</v>
      </c>
      <c r="C12" s="6" t="s">
        <v>62</v>
      </c>
      <c r="D12" s="6" t="s">
        <v>209</v>
      </c>
      <c r="E12" s="8" t="s">
        <v>218</v>
      </c>
      <c r="F12" s="25">
        <v>10</v>
      </c>
      <c r="G12" s="8"/>
    </row>
    <row r="13" spans="1:7" ht="25.05" customHeight="1">
      <c r="A13" s="6">
        <v>10</v>
      </c>
      <c r="B13" s="7" t="s">
        <v>61</v>
      </c>
      <c r="C13" s="6" t="s">
        <v>62</v>
      </c>
      <c r="D13" s="3" t="s">
        <v>219</v>
      </c>
      <c r="E13" s="9" t="s">
        <v>220</v>
      </c>
      <c r="F13" s="79">
        <f>SUM(F4:F12)</f>
        <v>238</v>
      </c>
      <c r="G13" s="9"/>
    </row>
    <row r="14" spans="1:7" ht="25.05" customHeight="1">
      <c r="A14" s="6">
        <v>11</v>
      </c>
      <c r="B14" s="7" t="s">
        <v>61</v>
      </c>
      <c r="C14" s="6" t="s">
        <v>62</v>
      </c>
      <c r="D14" s="6" t="s">
        <v>221</v>
      </c>
      <c r="E14" s="8" t="s">
        <v>222</v>
      </c>
      <c r="F14" s="25">
        <v>14</v>
      </c>
      <c r="G14" s="8"/>
    </row>
    <row r="15" spans="1:7" ht="25.05" customHeight="1">
      <c r="A15" s="6">
        <v>12</v>
      </c>
      <c r="B15" s="7" t="s">
        <v>61</v>
      </c>
      <c r="C15" s="6" t="s">
        <v>62</v>
      </c>
      <c r="D15" s="6" t="s">
        <v>221</v>
      </c>
      <c r="E15" s="8" t="s">
        <v>488</v>
      </c>
      <c r="F15" s="25">
        <v>22</v>
      </c>
      <c r="G15" s="8"/>
    </row>
    <row r="16" spans="1:7" ht="25.05" customHeight="1">
      <c r="A16" s="6">
        <v>13</v>
      </c>
      <c r="B16" s="7" t="s">
        <v>61</v>
      </c>
      <c r="C16" s="6" t="s">
        <v>62</v>
      </c>
      <c r="D16" s="6" t="s">
        <v>221</v>
      </c>
      <c r="E16" s="8" t="s">
        <v>224</v>
      </c>
      <c r="F16" s="25">
        <v>9</v>
      </c>
      <c r="G16" s="8"/>
    </row>
    <row r="17" spans="1:7" ht="25.05" customHeight="1">
      <c r="A17" s="6">
        <v>14</v>
      </c>
      <c r="B17" s="7" t="s">
        <v>61</v>
      </c>
      <c r="C17" s="6" t="s">
        <v>62</v>
      </c>
      <c r="D17" s="6" t="s">
        <v>221</v>
      </c>
      <c r="E17" s="8" t="s">
        <v>225</v>
      </c>
      <c r="F17" s="25">
        <v>20</v>
      </c>
      <c r="G17" s="8"/>
    </row>
    <row r="18" spans="1:7" ht="25.05" customHeight="1">
      <c r="A18" s="6">
        <v>15</v>
      </c>
      <c r="B18" s="7" t="s">
        <v>61</v>
      </c>
      <c r="C18" s="6" t="s">
        <v>62</v>
      </c>
      <c r="D18" s="6" t="s">
        <v>221</v>
      </c>
      <c r="E18" s="8" t="s">
        <v>226</v>
      </c>
      <c r="F18" s="25">
        <v>22</v>
      </c>
      <c r="G18" s="8"/>
    </row>
    <row r="19" spans="1:7" ht="25.05" customHeight="1">
      <c r="A19" s="6">
        <v>16</v>
      </c>
      <c r="B19" s="7" t="s">
        <v>61</v>
      </c>
      <c r="C19" s="6" t="s">
        <v>62</v>
      </c>
      <c r="D19" s="6" t="s">
        <v>221</v>
      </c>
      <c r="E19" s="8" t="s">
        <v>227</v>
      </c>
      <c r="F19" s="25">
        <v>20</v>
      </c>
      <c r="G19" s="8"/>
    </row>
    <row r="20" spans="1:7" ht="25.05" customHeight="1">
      <c r="A20" s="6">
        <v>17</v>
      </c>
      <c r="B20" s="7" t="s">
        <v>61</v>
      </c>
      <c r="C20" s="6" t="s">
        <v>62</v>
      </c>
      <c r="D20" s="3" t="s">
        <v>219</v>
      </c>
      <c r="E20" s="9" t="s">
        <v>228</v>
      </c>
      <c r="F20" s="79">
        <f>SUM(F14:F19)</f>
        <v>107</v>
      </c>
      <c r="G20" s="9"/>
    </row>
    <row r="21" spans="1:7" ht="25.05" customHeight="1">
      <c r="A21" s="6">
        <v>18</v>
      </c>
      <c r="B21" s="7" t="s">
        <v>61</v>
      </c>
      <c r="C21" s="6" t="s">
        <v>62</v>
      </c>
      <c r="D21" s="6" t="s">
        <v>229</v>
      </c>
      <c r="E21" s="8" t="s">
        <v>230</v>
      </c>
      <c r="F21" s="25">
        <v>14</v>
      </c>
      <c r="G21" s="8"/>
    </row>
    <row r="22" spans="1:7" ht="25.05" customHeight="1">
      <c r="A22" s="6">
        <v>19</v>
      </c>
      <c r="B22" s="7" t="s">
        <v>61</v>
      </c>
      <c r="C22" s="6" t="s">
        <v>62</v>
      </c>
      <c r="D22" s="6" t="s">
        <v>229</v>
      </c>
      <c r="E22" s="8" t="s">
        <v>231</v>
      </c>
      <c r="F22" s="25">
        <v>32</v>
      </c>
      <c r="G22" s="8"/>
    </row>
    <row r="23" spans="1:7" ht="25.05" customHeight="1">
      <c r="A23" s="6">
        <v>20</v>
      </c>
      <c r="B23" s="7" t="s">
        <v>61</v>
      </c>
      <c r="C23" s="6" t="s">
        <v>62</v>
      </c>
      <c r="D23" s="6" t="s">
        <v>229</v>
      </c>
      <c r="E23" s="8" t="s">
        <v>232</v>
      </c>
      <c r="F23" s="25">
        <v>18</v>
      </c>
      <c r="G23" s="8"/>
    </row>
    <row r="24" spans="1:7" ht="25.05" customHeight="1">
      <c r="A24" s="6">
        <v>21</v>
      </c>
      <c r="B24" s="7" t="s">
        <v>61</v>
      </c>
      <c r="C24" s="6" t="s">
        <v>62</v>
      </c>
      <c r="D24" s="6" t="s">
        <v>229</v>
      </c>
      <c r="E24" s="8" t="s">
        <v>233</v>
      </c>
      <c r="F24" s="25">
        <v>25</v>
      </c>
      <c r="G24" s="8"/>
    </row>
    <row r="25" spans="1:7" ht="25.05" customHeight="1">
      <c r="A25" s="6">
        <v>22</v>
      </c>
      <c r="B25" s="7" t="s">
        <v>61</v>
      </c>
      <c r="C25" s="6" t="s">
        <v>62</v>
      </c>
      <c r="D25" s="6" t="s">
        <v>229</v>
      </c>
      <c r="E25" s="8" t="s">
        <v>234</v>
      </c>
      <c r="F25" s="25">
        <v>19</v>
      </c>
      <c r="G25" s="8"/>
    </row>
    <row r="26" spans="1:7" ht="25.05" customHeight="1">
      <c r="A26" s="6">
        <v>23</v>
      </c>
      <c r="B26" s="7" t="s">
        <v>61</v>
      </c>
      <c r="C26" s="6" t="s">
        <v>62</v>
      </c>
      <c r="D26" s="6" t="s">
        <v>229</v>
      </c>
      <c r="E26" s="8" t="s">
        <v>235</v>
      </c>
      <c r="F26" s="25">
        <v>10</v>
      </c>
      <c r="G26" s="8"/>
    </row>
    <row r="27" spans="1:7" ht="25.05" customHeight="1">
      <c r="A27" s="6">
        <v>24</v>
      </c>
      <c r="B27" s="7" t="s">
        <v>61</v>
      </c>
      <c r="C27" s="6" t="s">
        <v>62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61</v>
      </c>
      <c r="C28" s="6" t="s">
        <v>62</v>
      </c>
      <c r="D28" s="3" t="s">
        <v>219</v>
      </c>
      <c r="E28" s="9" t="s">
        <v>238</v>
      </c>
      <c r="F28" s="79">
        <f>SUM(F21:F27)</f>
        <v>126</v>
      </c>
      <c r="G28" s="9"/>
    </row>
    <row r="29" spans="1:7" ht="25.05" customHeight="1">
      <c r="A29" s="6">
        <v>26</v>
      </c>
      <c r="B29" s="7" t="s">
        <v>61</v>
      </c>
      <c r="C29" s="6" t="s">
        <v>62</v>
      </c>
      <c r="D29" s="6" t="s">
        <v>239</v>
      </c>
      <c r="E29" s="8" t="s">
        <v>240</v>
      </c>
      <c r="F29" s="25">
        <v>70</v>
      </c>
      <c r="G29" s="8"/>
    </row>
    <row r="30" spans="1:7" ht="25.05" customHeight="1">
      <c r="A30" s="6">
        <v>27</v>
      </c>
      <c r="B30" s="7" t="s">
        <v>61</v>
      </c>
      <c r="C30" s="6" t="s">
        <v>62</v>
      </c>
      <c r="D30" s="6" t="s">
        <v>239</v>
      </c>
      <c r="E30" s="8" t="s">
        <v>241</v>
      </c>
      <c r="F30" s="25">
        <v>60</v>
      </c>
      <c r="G30" s="8"/>
    </row>
    <row r="31" spans="1:7" ht="25.05" customHeight="1">
      <c r="A31" s="6">
        <v>28</v>
      </c>
      <c r="B31" s="7" t="s">
        <v>61</v>
      </c>
      <c r="C31" s="6" t="s">
        <v>62</v>
      </c>
      <c r="D31" s="3" t="s">
        <v>219</v>
      </c>
      <c r="E31" s="9" t="s">
        <v>242</v>
      </c>
      <c r="F31" s="79">
        <f>SUM(F29:F30)</f>
        <v>130</v>
      </c>
      <c r="G31" s="9"/>
    </row>
    <row r="32" spans="1:7" ht="25.05" customHeight="1">
      <c r="A32" s="6">
        <v>29</v>
      </c>
      <c r="B32" s="7" t="s">
        <v>61</v>
      </c>
      <c r="C32" s="6" t="s">
        <v>62</v>
      </c>
      <c r="D32" s="6" t="s">
        <v>243</v>
      </c>
      <c r="E32" s="8" t="s">
        <v>244</v>
      </c>
      <c r="F32" s="25">
        <v>6.6</v>
      </c>
      <c r="G32" s="8"/>
    </row>
    <row r="33" spans="1:7" ht="25.05" customHeight="1">
      <c r="A33" s="6">
        <v>30</v>
      </c>
      <c r="B33" s="7" t="s">
        <v>61</v>
      </c>
      <c r="C33" s="6" t="s">
        <v>62</v>
      </c>
      <c r="D33" s="6" t="s">
        <v>243</v>
      </c>
      <c r="E33" s="8" t="s">
        <v>245</v>
      </c>
      <c r="F33" s="25">
        <v>6.6</v>
      </c>
      <c r="G33" s="8"/>
    </row>
    <row r="34" spans="1:7" ht="25.05" customHeight="1">
      <c r="A34" s="6">
        <v>31</v>
      </c>
      <c r="B34" s="7" t="s">
        <v>61</v>
      </c>
      <c r="C34" s="6" t="s">
        <v>62</v>
      </c>
      <c r="D34" s="6" t="s">
        <v>243</v>
      </c>
      <c r="E34" s="8" t="s">
        <v>489</v>
      </c>
      <c r="F34" s="25">
        <v>26.4</v>
      </c>
      <c r="G34" s="8"/>
    </row>
    <row r="35" spans="1:7" ht="25.05" customHeight="1">
      <c r="A35" s="6">
        <v>32</v>
      </c>
      <c r="B35" s="7" t="s">
        <v>61</v>
      </c>
      <c r="C35" s="6" t="s">
        <v>62</v>
      </c>
      <c r="D35" s="6" t="s">
        <v>243</v>
      </c>
      <c r="E35" s="8" t="s">
        <v>247</v>
      </c>
      <c r="F35" s="25">
        <v>2</v>
      </c>
      <c r="G35" s="8"/>
    </row>
    <row r="36" spans="1:7" ht="25.05" customHeight="1">
      <c r="A36" s="6">
        <v>33</v>
      </c>
      <c r="B36" s="7" t="s">
        <v>61</v>
      </c>
      <c r="C36" s="6" t="s">
        <v>62</v>
      </c>
      <c r="D36" s="3" t="s">
        <v>219</v>
      </c>
      <c r="E36" s="9" t="s">
        <v>248</v>
      </c>
      <c r="F36" s="79">
        <f>SUM(F32:F35)</f>
        <v>41.6</v>
      </c>
      <c r="G36" s="9"/>
    </row>
    <row r="37" spans="1:7" ht="25.05" customHeight="1">
      <c r="A37" s="6">
        <v>34</v>
      </c>
      <c r="B37" s="7" t="s">
        <v>61</v>
      </c>
      <c r="C37" s="6" t="s">
        <v>62</v>
      </c>
      <c r="D37" s="6" t="s">
        <v>249</v>
      </c>
      <c r="E37" s="8" t="s">
        <v>490</v>
      </c>
      <c r="F37" s="25">
        <v>6</v>
      </c>
      <c r="G37" s="8"/>
    </row>
    <row r="38" spans="1:7" ht="25.05" customHeight="1">
      <c r="A38" s="6">
        <v>35</v>
      </c>
      <c r="B38" s="7" t="s">
        <v>61</v>
      </c>
      <c r="C38" s="6" t="s">
        <v>62</v>
      </c>
      <c r="D38" s="6" t="s">
        <v>249</v>
      </c>
      <c r="E38" s="8" t="s">
        <v>491</v>
      </c>
      <c r="F38" s="25">
        <v>6</v>
      </c>
      <c r="G38" s="8"/>
    </row>
    <row r="39" spans="1:7" ht="25.05" customHeight="1">
      <c r="A39" s="6">
        <v>36</v>
      </c>
      <c r="B39" s="7" t="s">
        <v>61</v>
      </c>
      <c r="C39" s="6" t="s">
        <v>62</v>
      </c>
      <c r="D39" s="6" t="s">
        <v>249</v>
      </c>
      <c r="E39" s="8" t="s">
        <v>492</v>
      </c>
      <c r="F39" s="25">
        <v>27</v>
      </c>
      <c r="G39" s="8"/>
    </row>
    <row r="40" spans="1:7" ht="25.05" customHeight="1">
      <c r="A40" s="6">
        <v>37</v>
      </c>
      <c r="B40" s="7" t="s">
        <v>61</v>
      </c>
      <c r="C40" s="6" t="s">
        <v>62</v>
      </c>
      <c r="D40" s="6" t="s">
        <v>249</v>
      </c>
      <c r="E40" s="8" t="s">
        <v>493</v>
      </c>
      <c r="F40" s="25">
        <v>6</v>
      </c>
      <c r="G40" s="8"/>
    </row>
    <row r="41" spans="1:7" ht="25.05" customHeight="1">
      <c r="A41" s="6">
        <v>38</v>
      </c>
      <c r="B41" s="7" t="s">
        <v>61</v>
      </c>
      <c r="C41" s="6" t="s">
        <v>62</v>
      </c>
      <c r="D41" s="6" t="s">
        <v>249</v>
      </c>
      <c r="E41" s="8" t="s">
        <v>494</v>
      </c>
      <c r="F41" s="25">
        <v>2</v>
      </c>
      <c r="G41" s="8"/>
    </row>
    <row r="42" spans="1:7" ht="25.05" customHeight="1">
      <c r="A42" s="6">
        <v>39</v>
      </c>
      <c r="B42" s="7" t="s">
        <v>61</v>
      </c>
      <c r="C42" s="6" t="s">
        <v>62</v>
      </c>
      <c r="D42" s="3" t="s">
        <v>219</v>
      </c>
      <c r="E42" s="9" t="s">
        <v>255</v>
      </c>
      <c r="F42" s="79">
        <f>SUM(F37:F41)</f>
        <v>47</v>
      </c>
      <c r="G42" s="9"/>
    </row>
    <row r="43" spans="1:7" ht="25.05" customHeight="1">
      <c r="A43" s="6">
        <v>40</v>
      </c>
      <c r="B43" s="7" t="s">
        <v>61</v>
      </c>
      <c r="C43" s="6" t="s">
        <v>62</v>
      </c>
      <c r="D43" s="6" t="s">
        <v>495</v>
      </c>
      <c r="E43" s="8" t="s">
        <v>257</v>
      </c>
      <c r="F43" s="25">
        <v>30</v>
      </c>
      <c r="G43" s="8"/>
    </row>
    <row r="44" spans="1:7" ht="25.05" customHeight="1">
      <c r="A44" s="6">
        <v>41</v>
      </c>
      <c r="B44" s="7" t="s">
        <v>61</v>
      </c>
      <c r="C44" s="6" t="s">
        <v>62</v>
      </c>
      <c r="D44" s="3" t="s">
        <v>219</v>
      </c>
      <c r="E44" s="9" t="s">
        <v>496</v>
      </c>
      <c r="F44" s="79">
        <f>SUM(F43)</f>
        <v>30</v>
      </c>
      <c r="G44" s="9"/>
    </row>
    <row r="45" spans="1:7" ht="25.05" customHeight="1">
      <c r="A45" s="6">
        <v>42</v>
      </c>
      <c r="B45" s="7" t="s">
        <v>61</v>
      </c>
      <c r="C45" s="6" t="s">
        <v>62</v>
      </c>
      <c r="D45" s="6" t="s">
        <v>259</v>
      </c>
      <c r="E45" s="8" t="s">
        <v>497</v>
      </c>
      <c r="F45" s="25">
        <v>650</v>
      </c>
      <c r="G45" s="8"/>
    </row>
    <row r="46" spans="1:7" ht="25.05" customHeight="1">
      <c r="A46" s="6">
        <v>43</v>
      </c>
      <c r="B46" s="7" t="s">
        <v>61</v>
      </c>
      <c r="C46" s="6" t="s">
        <v>62</v>
      </c>
      <c r="D46" s="3" t="s">
        <v>219</v>
      </c>
      <c r="E46" s="9" t="s">
        <v>261</v>
      </c>
      <c r="F46" s="79">
        <f>SUM(F45)</f>
        <v>650</v>
      </c>
      <c r="G46" s="9"/>
    </row>
    <row r="47" spans="1:7" ht="25.05" customHeight="1">
      <c r="A47" s="6">
        <v>44</v>
      </c>
      <c r="B47" s="7" t="s">
        <v>61</v>
      </c>
      <c r="C47" s="6" t="s">
        <v>62</v>
      </c>
      <c r="D47" s="6" t="s">
        <v>262</v>
      </c>
      <c r="E47" s="8" t="s">
        <v>263</v>
      </c>
      <c r="F47" s="25">
        <v>85</v>
      </c>
      <c r="G47" s="8"/>
    </row>
    <row r="48" spans="1:7" ht="25.05" customHeight="1">
      <c r="A48" s="6">
        <v>45</v>
      </c>
      <c r="B48" s="7" t="s">
        <v>61</v>
      </c>
      <c r="C48" s="6" t="s">
        <v>62</v>
      </c>
      <c r="D48" s="6" t="s">
        <v>262</v>
      </c>
      <c r="E48" s="8" t="s">
        <v>264</v>
      </c>
      <c r="F48" s="25">
        <v>40</v>
      </c>
      <c r="G48" s="8"/>
    </row>
    <row r="49" spans="1:7" ht="25.05" customHeight="1">
      <c r="A49" s="6">
        <v>46</v>
      </c>
      <c r="B49" s="7" t="s">
        <v>61</v>
      </c>
      <c r="C49" s="6" t="s">
        <v>62</v>
      </c>
      <c r="D49" s="6" t="s">
        <v>262</v>
      </c>
      <c r="E49" s="8" t="s">
        <v>265</v>
      </c>
      <c r="F49" s="25">
        <v>20</v>
      </c>
      <c r="G49" s="8"/>
    </row>
    <row r="50" spans="1:7" ht="25.05" customHeight="1">
      <c r="A50" s="6">
        <v>47</v>
      </c>
      <c r="B50" s="7" t="s">
        <v>61</v>
      </c>
      <c r="C50" s="6" t="s">
        <v>62</v>
      </c>
      <c r="D50" s="3" t="s">
        <v>219</v>
      </c>
      <c r="E50" s="9" t="s">
        <v>266</v>
      </c>
      <c r="F50" s="79">
        <v>145</v>
      </c>
      <c r="G50" s="9"/>
    </row>
    <row r="51" spans="1:7" ht="25.05" customHeight="1">
      <c r="A51" s="6">
        <v>48</v>
      </c>
      <c r="B51" s="7" t="s">
        <v>61</v>
      </c>
      <c r="C51" s="6" t="s">
        <v>62</v>
      </c>
      <c r="D51" s="3" t="s">
        <v>267</v>
      </c>
      <c r="E51" s="9" t="s">
        <v>498</v>
      </c>
      <c r="F51" s="79">
        <v>1515</v>
      </c>
      <c r="G51" s="9"/>
    </row>
    <row r="52" spans="1:7" ht="25.05" customHeight="1">
      <c r="A52" s="220" t="s">
        <v>437</v>
      </c>
      <c r="B52" s="221"/>
      <c r="C52" s="221"/>
      <c r="D52" s="221"/>
      <c r="E52" s="221"/>
      <c r="F52" s="221"/>
      <c r="G52" s="222"/>
    </row>
  </sheetData>
  <autoFilter ref="A3:G52" xr:uid="{00000000-0009-0000-0000-000011000000}"/>
  <mergeCells count="3">
    <mergeCell ref="A1:G1"/>
    <mergeCell ref="A2:G2"/>
    <mergeCell ref="A52:G52"/>
  </mergeCells>
  <phoneticPr fontId="23" type="noConversion"/>
  <pageMargins left="0.59055118110236204" right="0.23622047244094499" top="0.35433070866141703" bottom="0.43307086614173201" header="0.35433070866141703" footer="0.23622047244094499"/>
  <pageSetup paperSize="9" orientation="portrait" r:id="rId1"/>
  <headerFooter>
    <oddFooter>&amp;C&amp;8第 &amp;P 页，共 &amp;N 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G51"/>
  <sheetViews>
    <sheetView view="pageBreakPreview" zoomScale="115" zoomScaleNormal="100" workbookViewId="0">
      <selection activeCell="E54" sqref="E54"/>
    </sheetView>
  </sheetViews>
  <sheetFormatPr defaultColWidth="9" defaultRowHeight="15.75"/>
  <cols>
    <col min="1" max="1" width="4.46484375" style="1" customWidth="1"/>
    <col min="2" max="2" width="7.9296875" style="2" customWidth="1"/>
    <col min="3" max="3" width="16.33203125" style="1" customWidth="1"/>
    <col min="4" max="4" width="10.53125" style="1" customWidth="1"/>
    <col min="5" max="5" width="43.19921875" style="1" customWidth="1"/>
    <col min="6" max="6" width="6.33203125" style="78" customWidth="1"/>
    <col min="7" max="7" width="7.59765625" style="1" customWidth="1"/>
  </cols>
  <sheetData>
    <row r="1" spans="1:7" ht="25.05" customHeight="1">
      <c r="A1" s="215" t="s">
        <v>499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500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61</v>
      </c>
      <c r="C4" s="6" t="s">
        <v>65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61</v>
      </c>
      <c r="C5" s="6" t="s">
        <v>65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61</v>
      </c>
      <c r="C6" s="6" t="s">
        <v>65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61</v>
      </c>
      <c r="C7" s="6" t="s">
        <v>65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61</v>
      </c>
      <c r="C8" s="6" t="s">
        <v>65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61</v>
      </c>
      <c r="C9" s="6" t="s">
        <v>65</v>
      </c>
      <c r="D9" s="6" t="s">
        <v>209</v>
      </c>
      <c r="E9" s="8" t="s">
        <v>215</v>
      </c>
      <c r="F9" s="25">
        <v>10</v>
      </c>
      <c r="G9" s="8"/>
    </row>
    <row r="10" spans="1:7" ht="25.05" customHeight="1">
      <c r="A10" s="6">
        <v>7</v>
      </c>
      <c r="B10" s="7" t="s">
        <v>61</v>
      </c>
      <c r="C10" s="6" t="s">
        <v>65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61</v>
      </c>
      <c r="C11" s="6" t="s">
        <v>65</v>
      </c>
      <c r="D11" s="6" t="s">
        <v>209</v>
      </c>
      <c r="E11" s="8" t="s">
        <v>217</v>
      </c>
      <c r="F11" s="25">
        <v>55</v>
      </c>
      <c r="G11" s="8"/>
    </row>
    <row r="12" spans="1:7" ht="25.05" customHeight="1">
      <c r="A12" s="6">
        <v>9</v>
      </c>
      <c r="B12" s="7" t="s">
        <v>61</v>
      </c>
      <c r="C12" s="6" t="s">
        <v>65</v>
      </c>
      <c r="D12" s="6" t="s">
        <v>209</v>
      </c>
      <c r="E12" s="8" t="s">
        <v>218</v>
      </c>
      <c r="F12" s="25">
        <v>10</v>
      </c>
      <c r="G12" s="8"/>
    </row>
    <row r="13" spans="1:7" ht="25.05" customHeight="1">
      <c r="A13" s="6">
        <v>10</v>
      </c>
      <c r="B13" s="7" t="s">
        <v>61</v>
      </c>
      <c r="C13" s="6" t="s">
        <v>65</v>
      </c>
      <c r="D13" s="3" t="s">
        <v>219</v>
      </c>
      <c r="E13" s="9" t="s">
        <v>220</v>
      </c>
      <c r="F13" s="79">
        <f>SUM(F4:F12)</f>
        <v>238</v>
      </c>
      <c r="G13" s="9"/>
    </row>
    <row r="14" spans="1:7" ht="25.05" customHeight="1">
      <c r="A14" s="6">
        <v>11</v>
      </c>
      <c r="B14" s="7" t="s">
        <v>61</v>
      </c>
      <c r="C14" s="6" t="s">
        <v>65</v>
      </c>
      <c r="D14" s="6" t="s">
        <v>221</v>
      </c>
      <c r="E14" s="8" t="s">
        <v>222</v>
      </c>
      <c r="F14" s="25">
        <v>14</v>
      </c>
      <c r="G14" s="8"/>
    </row>
    <row r="15" spans="1:7" ht="25.05" customHeight="1">
      <c r="A15" s="6">
        <v>12</v>
      </c>
      <c r="B15" s="7" t="s">
        <v>61</v>
      </c>
      <c r="C15" s="6" t="s">
        <v>65</v>
      </c>
      <c r="D15" s="6" t="s">
        <v>221</v>
      </c>
      <c r="E15" s="8" t="s">
        <v>488</v>
      </c>
      <c r="F15" s="25">
        <v>22</v>
      </c>
      <c r="G15" s="8"/>
    </row>
    <row r="16" spans="1:7" ht="25.05" customHeight="1">
      <c r="A16" s="6">
        <v>13</v>
      </c>
      <c r="B16" s="7" t="s">
        <v>61</v>
      </c>
      <c r="C16" s="6" t="s">
        <v>65</v>
      </c>
      <c r="D16" s="6" t="s">
        <v>221</v>
      </c>
      <c r="E16" s="8" t="s">
        <v>224</v>
      </c>
      <c r="F16" s="25">
        <v>9</v>
      </c>
      <c r="G16" s="8"/>
    </row>
    <row r="17" spans="1:7" ht="25.05" customHeight="1">
      <c r="A17" s="6">
        <v>14</v>
      </c>
      <c r="B17" s="7" t="s">
        <v>61</v>
      </c>
      <c r="C17" s="6" t="s">
        <v>65</v>
      </c>
      <c r="D17" s="6" t="s">
        <v>221</v>
      </c>
      <c r="E17" s="8" t="s">
        <v>225</v>
      </c>
      <c r="F17" s="25">
        <v>20</v>
      </c>
      <c r="G17" s="8"/>
    </row>
    <row r="18" spans="1:7" ht="25.05" customHeight="1">
      <c r="A18" s="6">
        <v>15</v>
      </c>
      <c r="B18" s="7" t="s">
        <v>61</v>
      </c>
      <c r="C18" s="6" t="s">
        <v>65</v>
      </c>
      <c r="D18" s="6" t="s">
        <v>221</v>
      </c>
      <c r="E18" s="8" t="s">
        <v>226</v>
      </c>
      <c r="F18" s="25">
        <v>22</v>
      </c>
      <c r="G18" s="8"/>
    </row>
    <row r="19" spans="1:7" ht="25.05" customHeight="1">
      <c r="A19" s="6">
        <v>16</v>
      </c>
      <c r="B19" s="7" t="s">
        <v>61</v>
      </c>
      <c r="C19" s="6" t="s">
        <v>65</v>
      </c>
      <c r="D19" s="6" t="s">
        <v>221</v>
      </c>
      <c r="E19" s="8" t="s">
        <v>227</v>
      </c>
      <c r="F19" s="25">
        <v>20</v>
      </c>
      <c r="G19" s="8"/>
    </row>
    <row r="20" spans="1:7" ht="25.05" customHeight="1">
      <c r="A20" s="6">
        <v>17</v>
      </c>
      <c r="B20" s="7" t="s">
        <v>61</v>
      </c>
      <c r="C20" s="6" t="s">
        <v>65</v>
      </c>
      <c r="D20" s="3" t="s">
        <v>219</v>
      </c>
      <c r="E20" s="9" t="s">
        <v>228</v>
      </c>
      <c r="F20" s="79">
        <f>SUM(F14:F19)</f>
        <v>107</v>
      </c>
      <c r="G20" s="9"/>
    </row>
    <row r="21" spans="1:7" ht="25.05" customHeight="1">
      <c r="A21" s="6">
        <v>18</v>
      </c>
      <c r="B21" s="7" t="s">
        <v>61</v>
      </c>
      <c r="C21" s="6" t="s">
        <v>65</v>
      </c>
      <c r="D21" s="6" t="s">
        <v>229</v>
      </c>
      <c r="E21" s="8" t="s">
        <v>230</v>
      </c>
      <c r="F21" s="25">
        <v>14</v>
      </c>
      <c r="G21" s="8"/>
    </row>
    <row r="22" spans="1:7" ht="25.05" customHeight="1">
      <c r="A22" s="6">
        <v>19</v>
      </c>
      <c r="B22" s="7" t="s">
        <v>61</v>
      </c>
      <c r="C22" s="6" t="s">
        <v>65</v>
      </c>
      <c r="D22" s="6" t="s">
        <v>229</v>
      </c>
      <c r="E22" s="8" t="s">
        <v>231</v>
      </c>
      <c r="F22" s="25">
        <v>32</v>
      </c>
      <c r="G22" s="8"/>
    </row>
    <row r="23" spans="1:7" ht="25.05" customHeight="1">
      <c r="A23" s="6">
        <v>20</v>
      </c>
      <c r="B23" s="7" t="s">
        <v>61</v>
      </c>
      <c r="C23" s="6" t="s">
        <v>65</v>
      </c>
      <c r="D23" s="6" t="s">
        <v>229</v>
      </c>
      <c r="E23" s="8" t="s">
        <v>232</v>
      </c>
      <c r="F23" s="25">
        <v>18</v>
      </c>
      <c r="G23" s="8"/>
    </row>
    <row r="24" spans="1:7" ht="25.05" customHeight="1">
      <c r="A24" s="6">
        <v>21</v>
      </c>
      <c r="B24" s="7" t="s">
        <v>61</v>
      </c>
      <c r="C24" s="6" t="s">
        <v>65</v>
      </c>
      <c r="D24" s="6" t="s">
        <v>229</v>
      </c>
      <c r="E24" s="8" t="s">
        <v>233</v>
      </c>
      <c r="F24" s="25">
        <v>25</v>
      </c>
      <c r="G24" s="8"/>
    </row>
    <row r="25" spans="1:7" ht="25.05" customHeight="1">
      <c r="A25" s="6">
        <v>22</v>
      </c>
      <c r="B25" s="7" t="s">
        <v>61</v>
      </c>
      <c r="C25" s="6" t="s">
        <v>65</v>
      </c>
      <c r="D25" s="6" t="s">
        <v>229</v>
      </c>
      <c r="E25" s="8" t="s">
        <v>234</v>
      </c>
      <c r="F25" s="25">
        <v>19</v>
      </c>
      <c r="G25" s="8"/>
    </row>
    <row r="26" spans="1:7" ht="25.05" customHeight="1">
      <c r="A26" s="6">
        <v>23</v>
      </c>
      <c r="B26" s="7" t="s">
        <v>61</v>
      </c>
      <c r="C26" s="6" t="s">
        <v>65</v>
      </c>
      <c r="D26" s="6" t="s">
        <v>229</v>
      </c>
      <c r="E26" s="8" t="s">
        <v>235</v>
      </c>
      <c r="F26" s="25">
        <v>10</v>
      </c>
      <c r="G26" s="8"/>
    </row>
    <row r="27" spans="1:7" ht="25.05" customHeight="1">
      <c r="A27" s="6">
        <v>24</v>
      </c>
      <c r="B27" s="7" t="s">
        <v>61</v>
      </c>
      <c r="C27" s="6" t="s">
        <v>65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61</v>
      </c>
      <c r="C28" s="6" t="s">
        <v>65</v>
      </c>
      <c r="D28" s="3" t="s">
        <v>219</v>
      </c>
      <c r="E28" s="9" t="s">
        <v>238</v>
      </c>
      <c r="F28" s="79">
        <f>SUM(F21:F27)</f>
        <v>126</v>
      </c>
      <c r="G28" s="9"/>
    </row>
    <row r="29" spans="1:7" ht="25.05" customHeight="1">
      <c r="A29" s="6">
        <v>26</v>
      </c>
      <c r="B29" s="7" t="s">
        <v>61</v>
      </c>
      <c r="C29" s="6" t="s">
        <v>65</v>
      </c>
      <c r="D29" s="6" t="s">
        <v>239</v>
      </c>
      <c r="E29" s="8" t="s">
        <v>240</v>
      </c>
      <c r="F29" s="25">
        <v>70</v>
      </c>
      <c r="G29" s="8"/>
    </row>
    <row r="30" spans="1:7" ht="25.05" customHeight="1">
      <c r="A30" s="6">
        <v>27</v>
      </c>
      <c r="B30" s="7" t="s">
        <v>61</v>
      </c>
      <c r="C30" s="6" t="s">
        <v>65</v>
      </c>
      <c r="D30" s="6" t="s">
        <v>239</v>
      </c>
      <c r="E30" s="8" t="s">
        <v>241</v>
      </c>
      <c r="F30" s="25">
        <v>60</v>
      </c>
      <c r="G30" s="8"/>
    </row>
    <row r="31" spans="1:7" ht="25.05" customHeight="1">
      <c r="A31" s="6">
        <v>28</v>
      </c>
      <c r="B31" s="7" t="s">
        <v>61</v>
      </c>
      <c r="C31" s="6" t="s">
        <v>65</v>
      </c>
      <c r="D31" s="3" t="s">
        <v>219</v>
      </c>
      <c r="E31" s="9" t="s">
        <v>242</v>
      </c>
      <c r="F31" s="79">
        <f>SUM(F29:F30)</f>
        <v>130</v>
      </c>
      <c r="G31" s="9"/>
    </row>
    <row r="32" spans="1:7" ht="25.05" customHeight="1">
      <c r="A32" s="6">
        <v>29</v>
      </c>
      <c r="B32" s="7" t="s">
        <v>61</v>
      </c>
      <c r="C32" s="6" t="s">
        <v>65</v>
      </c>
      <c r="D32" s="6" t="s">
        <v>243</v>
      </c>
      <c r="E32" s="8" t="s">
        <v>244</v>
      </c>
      <c r="F32" s="25">
        <v>6.6</v>
      </c>
      <c r="G32" s="8"/>
    </row>
    <row r="33" spans="1:7" ht="25.05" customHeight="1">
      <c r="A33" s="6">
        <v>30</v>
      </c>
      <c r="B33" s="7" t="s">
        <v>61</v>
      </c>
      <c r="C33" s="6" t="s">
        <v>65</v>
      </c>
      <c r="D33" s="6" t="s">
        <v>243</v>
      </c>
      <c r="E33" s="8" t="s">
        <v>245</v>
      </c>
      <c r="F33" s="25">
        <v>6.6</v>
      </c>
      <c r="G33" s="8"/>
    </row>
    <row r="34" spans="1:7" ht="25.05" customHeight="1">
      <c r="A34" s="6">
        <v>31</v>
      </c>
      <c r="B34" s="7" t="s">
        <v>61</v>
      </c>
      <c r="C34" s="6" t="s">
        <v>65</v>
      </c>
      <c r="D34" s="6" t="s">
        <v>243</v>
      </c>
      <c r="E34" s="8" t="s">
        <v>489</v>
      </c>
      <c r="F34" s="25">
        <v>26.4</v>
      </c>
      <c r="G34" s="8"/>
    </row>
    <row r="35" spans="1:7" ht="25.05" customHeight="1">
      <c r="A35" s="6">
        <v>32</v>
      </c>
      <c r="B35" s="7" t="s">
        <v>61</v>
      </c>
      <c r="C35" s="6" t="s">
        <v>65</v>
      </c>
      <c r="D35" s="6" t="s">
        <v>243</v>
      </c>
      <c r="E35" s="8" t="s">
        <v>247</v>
      </c>
      <c r="F35" s="25">
        <v>2</v>
      </c>
      <c r="G35" s="8"/>
    </row>
    <row r="36" spans="1:7" ht="25.05" customHeight="1">
      <c r="A36" s="6">
        <v>33</v>
      </c>
      <c r="B36" s="7" t="s">
        <v>61</v>
      </c>
      <c r="C36" s="6" t="s">
        <v>65</v>
      </c>
      <c r="D36" s="3" t="s">
        <v>219</v>
      </c>
      <c r="E36" s="9" t="s">
        <v>248</v>
      </c>
      <c r="F36" s="79">
        <f>SUM(F32:F35)</f>
        <v>41.6</v>
      </c>
      <c r="G36" s="9"/>
    </row>
    <row r="37" spans="1:7" ht="25.05" customHeight="1">
      <c r="A37" s="6">
        <v>34</v>
      </c>
      <c r="B37" s="7" t="s">
        <v>61</v>
      </c>
      <c r="C37" s="6" t="s">
        <v>65</v>
      </c>
      <c r="D37" s="6" t="s">
        <v>249</v>
      </c>
      <c r="E37" s="8" t="s">
        <v>490</v>
      </c>
      <c r="F37" s="25">
        <v>6</v>
      </c>
      <c r="G37" s="8"/>
    </row>
    <row r="38" spans="1:7" ht="25.05" customHeight="1">
      <c r="A38" s="6">
        <v>35</v>
      </c>
      <c r="B38" s="7" t="s">
        <v>61</v>
      </c>
      <c r="C38" s="6" t="s">
        <v>65</v>
      </c>
      <c r="D38" s="6" t="s">
        <v>249</v>
      </c>
      <c r="E38" s="8" t="s">
        <v>501</v>
      </c>
      <c r="F38" s="25">
        <v>33</v>
      </c>
      <c r="G38" s="8"/>
    </row>
    <row r="39" spans="1:7" ht="25.05" customHeight="1">
      <c r="A39" s="6">
        <v>36</v>
      </c>
      <c r="B39" s="7" t="s">
        <v>61</v>
      </c>
      <c r="C39" s="6" t="s">
        <v>65</v>
      </c>
      <c r="D39" s="6" t="s">
        <v>249</v>
      </c>
      <c r="E39" s="8" t="s">
        <v>493</v>
      </c>
      <c r="F39" s="25">
        <v>6</v>
      </c>
      <c r="G39" s="8"/>
    </row>
    <row r="40" spans="1:7" ht="25.05" customHeight="1">
      <c r="A40" s="6">
        <v>37</v>
      </c>
      <c r="B40" s="7" t="s">
        <v>61</v>
      </c>
      <c r="C40" s="6" t="s">
        <v>65</v>
      </c>
      <c r="D40" s="6" t="s">
        <v>249</v>
      </c>
      <c r="E40" s="8" t="s">
        <v>494</v>
      </c>
      <c r="F40" s="25">
        <v>2</v>
      </c>
      <c r="G40" s="8"/>
    </row>
    <row r="41" spans="1:7" ht="25.05" customHeight="1">
      <c r="A41" s="6">
        <v>38</v>
      </c>
      <c r="B41" s="7" t="s">
        <v>61</v>
      </c>
      <c r="C41" s="6" t="s">
        <v>65</v>
      </c>
      <c r="D41" s="3" t="s">
        <v>219</v>
      </c>
      <c r="E41" s="9" t="s">
        <v>255</v>
      </c>
      <c r="F41" s="79">
        <f>SUM(F37:F40)</f>
        <v>47</v>
      </c>
      <c r="G41" s="9"/>
    </row>
    <row r="42" spans="1:7" ht="25.05" customHeight="1">
      <c r="A42" s="6">
        <v>39</v>
      </c>
      <c r="B42" s="7" t="s">
        <v>61</v>
      </c>
      <c r="C42" s="6" t="s">
        <v>65</v>
      </c>
      <c r="D42" s="76" t="s">
        <v>256</v>
      </c>
      <c r="E42" s="8" t="s">
        <v>257</v>
      </c>
      <c r="F42" s="25">
        <v>30</v>
      </c>
      <c r="G42" s="8"/>
    </row>
    <row r="43" spans="1:7" ht="25.05" customHeight="1">
      <c r="A43" s="6">
        <v>40</v>
      </c>
      <c r="B43" s="7" t="s">
        <v>61</v>
      </c>
      <c r="C43" s="6" t="s">
        <v>65</v>
      </c>
      <c r="D43" s="3" t="s">
        <v>219</v>
      </c>
      <c r="E43" s="9" t="s">
        <v>258</v>
      </c>
      <c r="F43" s="79">
        <f>SUM(F42)</f>
        <v>30</v>
      </c>
      <c r="G43" s="9"/>
    </row>
    <row r="44" spans="1:7" ht="25.05" customHeight="1">
      <c r="A44" s="6">
        <v>41</v>
      </c>
      <c r="B44" s="7" t="s">
        <v>61</v>
      </c>
      <c r="C44" s="6" t="s">
        <v>65</v>
      </c>
      <c r="D44" s="76" t="s">
        <v>259</v>
      </c>
      <c r="E44" s="8" t="s">
        <v>497</v>
      </c>
      <c r="F44" s="25">
        <v>650</v>
      </c>
      <c r="G44" s="8"/>
    </row>
    <row r="45" spans="1:7" ht="25.05" customHeight="1">
      <c r="A45" s="6">
        <v>42</v>
      </c>
      <c r="B45" s="7" t="s">
        <v>61</v>
      </c>
      <c r="C45" s="6" t="s">
        <v>65</v>
      </c>
      <c r="D45" s="3" t="s">
        <v>219</v>
      </c>
      <c r="E45" s="9" t="s">
        <v>261</v>
      </c>
      <c r="F45" s="79">
        <f>SUM(F44)</f>
        <v>650</v>
      </c>
      <c r="G45" s="9"/>
    </row>
    <row r="46" spans="1:7" ht="25.05" customHeight="1">
      <c r="A46" s="6">
        <v>43</v>
      </c>
      <c r="B46" s="7" t="s">
        <v>61</v>
      </c>
      <c r="C46" s="6" t="s">
        <v>65</v>
      </c>
      <c r="D46" s="6" t="s">
        <v>262</v>
      </c>
      <c r="E46" s="8" t="s">
        <v>263</v>
      </c>
      <c r="F46" s="25">
        <v>85</v>
      </c>
      <c r="G46" s="8"/>
    </row>
    <row r="47" spans="1:7" ht="25.05" customHeight="1">
      <c r="A47" s="6">
        <v>44</v>
      </c>
      <c r="B47" s="7" t="s">
        <v>61</v>
      </c>
      <c r="C47" s="6" t="s">
        <v>65</v>
      </c>
      <c r="D47" s="6" t="s">
        <v>262</v>
      </c>
      <c r="E47" s="8" t="s">
        <v>264</v>
      </c>
      <c r="F47" s="25">
        <v>40</v>
      </c>
      <c r="G47" s="8"/>
    </row>
    <row r="48" spans="1:7" ht="25.05" customHeight="1">
      <c r="A48" s="6">
        <v>45</v>
      </c>
      <c r="B48" s="7" t="s">
        <v>61</v>
      </c>
      <c r="C48" s="6" t="s">
        <v>65</v>
      </c>
      <c r="D48" s="6" t="s">
        <v>262</v>
      </c>
      <c r="E48" s="8" t="s">
        <v>265</v>
      </c>
      <c r="F48" s="25">
        <v>20</v>
      </c>
      <c r="G48" s="8"/>
    </row>
    <row r="49" spans="1:7" ht="25.05" customHeight="1">
      <c r="A49" s="6">
        <v>46</v>
      </c>
      <c r="B49" s="7" t="s">
        <v>61</v>
      </c>
      <c r="C49" s="6" t="s">
        <v>65</v>
      </c>
      <c r="D49" s="3" t="s">
        <v>219</v>
      </c>
      <c r="E49" s="9" t="s">
        <v>266</v>
      </c>
      <c r="F49" s="79">
        <f>SUM(F46:F48)</f>
        <v>145</v>
      </c>
      <c r="G49" s="9"/>
    </row>
    <row r="50" spans="1:7" ht="25.05" customHeight="1">
      <c r="A50" s="6">
        <v>47</v>
      </c>
      <c r="B50" s="7" t="s">
        <v>61</v>
      </c>
      <c r="C50" s="6" t="s">
        <v>65</v>
      </c>
      <c r="D50" s="3" t="s">
        <v>267</v>
      </c>
      <c r="E50" s="9" t="s">
        <v>502</v>
      </c>
      <c r="F50" s="79">
        <v>1515</v>
      </c>
      <c r="G50" s="9"/>
    </row>
    <row r="51" spans="1:7" ht="25.05" customHeight="1">
      <c r="A51" s="220" t="s">
        <v>503</v>
      </c>
      <c r="B51" s="221"/>
      <c r="C51" s="221"/>
      <c r="D51" s="221"/>
      <c r="E51" s="221"/>
      <c r="F51" s="221"/>
      <c r="G51" s="222"/>
    </row>
  </sheetData>
  <autoFilter ref="A3:G51" xr:uid="{00000000-0009-0000-0000-000012000000}"/>
  <mergeCells count="3">
    <mergeCell ref="A1:G1"/>
    <mergeCell ref="A2:G2"/>
    <mergeCell ref="A51:G51"/>
  </mergeCells>
  <phoneticPr fontId="23" type="noConversion"/>
  <pageMargins left="0.59055118110236204" right="0.196850393700787" top="0.39370078740157499" bottom="0.511811023622047" header="0.35433070866141703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G51"/>
  <sheetViews>
    <sheetView view="pageBreakPreview" zoomScale="130" zoomScaleNormal="100" workbookViewId="0">
      <selection activeCell="E45" sqref="E45"/>
    </sheetView>
  </sheetViews>
  <sheetFormatPr defaultColWidth="9" defaultRowHeight="19.05" customHeight="1"/>
  <cols>
    <col min="1" max="1" width="4.06640625" style="1" customWidth="1"/>
    <col min="2" max="2" width="7.53125" style="2" customWidth="1"/>
    <col min="3" max="3" width="11.796875" style="1" customWidth="1"/>
    <col min="4" max="4" width="10" style="1" customWidth="1"/>
    <col min="5" max="5" width="47.9296875" style="1" customWidth="1"/>
    <col min="6" max="6" width="6.53125" style="78" customWidth="1"/>
    <col min="7" max="7" width="7.265625" style="1" customWidth="1"/>
  </cols>
  <sheetData>
    <row r="1" spans="1:7" ht="25.05" customHeight="1">
      <c r="A1" s="215" t="s">
        <v>504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505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67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67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67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67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67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67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67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67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23</v>
      </c>
      <c r="C12" s="6" t="s">
        <v>67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67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67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23</v>
      </c>
      <c r="C15" s="6" t="s">
        <v>67</v>
      </c>
      <c r="D15" s="6" t="s">
        <v>221</v>
      </c>
      <c r="E15" s="8" t="s">
        <v>222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67</v>
      </c>
      <c r="D16" s="6" t="s">
        <v>221</v>
      </c>
      <c r="E16" s="8" t="s">
        <v>223</v>
      </c>
      <c r="F16" s="25">
        <v>22</v>
      </c>
      <c r="G16" s="8"/>
    </row>
    <row r="17" spans="1:7" ht="25.05" customHeight="1">
      <c r="A17" s="6">
        <v>14</v>
      </c>
      <c r="B17" s="7" t="s">
        <v>23</v>
      </c>
      <c r="C17" s="6" t="s">
        <v>67</v>
      </c>
      <c r="D17" s="6" t="s">
        <v>221</v>
      </c>
      <c r="E17" s="8" t="s">
        <v>314</v>
      </c>
      <c r="F17" s="25">
        <v>9</v>
      </c>
      <c r="G17" s="8"/>
    </row>
    <row r="18" spans="1:7" ht="25.05" customHeight="1">
      <c r="A18" s="6">
        <v>15</v>
      </c>
      <c r="B18" s="7" t="s">
        <v>23</v>
      </c>
      <c r="C18" s="6" t="s">
        <v>67</v>
      </c>
      <c r="D18" s="6" t="s">
        <v>221</v>
      </c>
      <c r="E18" s="8" t="s">
        <v>225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67</v>
      </c>
      <c r="D19" s="6" t="s">
        <v>221</v>
      </c>
      <c r="E19" s="8" t="s">
        <v>226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67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67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ht="25.05" customHeight="1">
      <c r="A22" s="6">
        <v>19</v>
      </c>
      <c r="B22" s="7" t="s">
        <v>23</v>
      </c>
      <c r="C22" s="6" t="s">
        <v>67</v>
      </c>
      <c r="D22" s="6" t="s">
        <v>229</v>
      </c>
      <c r="E22" s="8" t="s">
        <v>230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67</v>
      </c>
      <c r="D23" s="6" t="s">
        <v>229</v>
      </c>
      <c r="E23" s="8" t="s">
        <v>231</v>
      </c>
      <c r="F23" s="25">
        <v>32</v>
      </c>
      <c r="G23" s="8"/>
    </row>
    <row r="24" spans="1:7" ht="25.05" customHeight="1">
      <c r="A24" s="6">
        <v>21</v>
      </c>
      <c r="B24" s="7" t="s">
        <v>23</v>
      </c>
      <c r="C24" s="6" t="s">
        <v>67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67</v>
      </c>
      <c r="D25" s="6" t="s">
        <v>229</v>
      </c>
      <c r="E25" s="8" t="s">
        <v>233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67</v>
      </c>
      <c r="D26" s="6" t="s">
        <v>229</v>
      </c>
      <c r="E26" s="8" t="s">
        <v>234</v>
      </c>
      <c r="F26" s="25">
        <v>19</v>
      </c>
      <c r="G26" s="8"/>
    </row>
    <row r="27" spans="1:7" ht="25.05" customHeight="1">
      <c r="A27" s="6">
        <v>24</v>
      </c>
      <c r="B27" s="7" t="s">
        <v>23</v>
      </c>
      <c r="C27" s="6" t="s">
        <v>67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67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23</v>
      </c>
      <c r="C29" s="6" t="s">
        <v>67</v>
      </c>
      <c r="D29" s="3" t="s">
        <v>219</v>
      </c>
      <c r="E29" s="9" t="s">
        <v>238</v>
      </c>
      <c r="F29" s="79">
        <f>SUM(F22:F28)</f>
        <v>126</v>
      </c>
      <c r="G29" s="9"/>
    </row>
    <row r="30" spans="1:7" ht="25.05" customHeight="1">
      <c r="A30" s="6">
        <v>27</v>
      </c>
      <c r="B30" s="7" t="s">
        <v>23</v>
      </c>
      <c r="C30" s="6" t="s">
        <v>67</v>
      </c>
      <c r="D30" s="6" t="s">
        <v>239</v>
      </c>
      <c r="E30" s="8" t="s">
        <v>240</v>
      </c>
      <c r="F30" s="25">
        <v>70</v>
      </c>
      <c r="G30" s="8"/>
    </row>
    <row r="31" spans="1:7" ht="25.05" customHeight="1">
      <c r="A31" s="6">
        <v>28</v>
      </c>
      <c r="B31" s="7" t="s">
        <v>23</v>
      </c>
      <c r="C31" s="6" t="s">
        <v>67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67</v>
      </c>
      <c r="D32" s="3" t="s">
        <v>219</v>
      </c>
      <c r="E32" s="9" t="s">
        <v>242</v>
      </c>
      <c r="F32" s="79">
        <f>SUM(F30:F31)</f>
        <v>130</v>
      </c>
      <c r="G32" s="9"/>
    </row>
    <row r="33" spans="1:7" ht="25.05" customHeight="1">
      <c r="A33" s="6">
        <v>30</v>
      </c>
      <c r="B33" s="7" t="s">
        <v>23</v>
      </c>
      <c r="C33" s="6" t="s">
        <v>67</v>
      </c>
      <c r="D33" s="6" t="s">
        <v>259</v>
      </c>
      <c r="E33" s="8" t="s">
        <v>317</v>
      </c>
      <c r="F33" s="77">
        <v>10</v>
      </c>
      <c r="G33" s="8"/>
    </row>
    <row r="34" spans="1:7" ht="25.05" customHeight="1">
      <c r="A34" s="6">
        <v>31</v>
      </c>
      <c r="B34" s="7" t="s">
        <v>23</v>
      </c>
      <c r="C34" s="6" t="s">
        <v>67</v>
      </c>
      <c r="D34" s="3" t="s">
        <v>219</v>
      </c>
      <c r="E34" s="9" t="s">
        <v>261</v>
      </c>
      <c r="F34" s="79">
        <f>SUM(F33)</f>
        <v>10</v>
      </c>
      <c r="G34" s="9"/>
    </row>
    <row r="35" spans="1:7" ht="25.05" customHeight="1">
      <c r="A35" s="6">
        <v>32</v>
      </c>
      <c r="B35" s="7" t="s">
        <v>23</v>
      </c>
      <c r="C35" s="6" t="s">
        <v>67</v>
      </c>
      <c r="D35" s="6" t="s">
        <v>243</v>
      </c>
      <c r="E35" s="8" t="s">
        <v>319</v>
      </c>
      <c r="F35" s="25">
        <v>6</v>
      </c>
      <c r="G35" s="8"/>
    </row>
    <row r="36" spans="1:7" ht="25.05" customHeight="1">
      <c r="A36" s="6">
        <v>33</v>
      </c>
      <c r="B36" s="7" t="s">
        <v>23</v>
      </c>
      <c r="C36" s="6" t="s">
        <v>67</v>
      </c>
      <c r="D36" s="6" t="s">
        <v>243</v>
      </c>
      <c r="E36" s="8" t="s">
        <v>320</v>
      </c>
      <c r="F36" s="25">
        <v>6</v>
      </c>
      <c r="G36" s="8"/>
    </row>
    <row r="37" spans="1:7" ht="25.05" customHeight="1">
      <c r="A37" s="6">
        <v>34</v>
      </c>
      <c r="B37" s="7" t="s">
        <v>23</v>
      </c>
      <c r="C37" s="6" t="s">
        <v>67</v>
      </c>
      <c r="D37" s="6" t="s">
        <v>243</v>
      </c>
      <c r="E37" s="8" t="s">
        <v>321</v>
      </c>
      <c r="F37" s="25">
        <v>10.56</v>
      </c>
      <c r="G37" s="8"/>
    </row>
    <row r="38" spans="1:7" ht="25.05" customHeight="1">
      <c r="A38" s="6">
        <v>35</v>
      </c>
      <c r="B38" s="7" t="s">
        <v>23</v>
      </c>
      <c r="C38" s="6" t="s">
        <v>67</v>
      </c>
      <c r="D38" s="6" t="s">
        <v>243</v>
      </c>
      <c r="E38" s="8" t="s">
        <v>247</v>
      </c>
      <c r="F38" s="25">
        <v>2</v>
      </c>
      <c r="G38" s="8"/>
    </row>
    <row r="39" spans="1:7" ht="25.05" customHeight="1">
      <c r="A39" s="6">
        <v>36</v>
      </c>
      <c r="B39" s="7" t="s">
        <v>23</v>
      </c>
      <c r="C39" s="6" t="s">
        <v>67</v>
      </c>
      <c r="D39" s="3" t="s">
        <v>219</v>
      </c>
      <c r="E39" s="9" t="s">
        <v>248</v>
      </c>
      <c r="F39" s="79">
        <f>SUM(F35:F38)</f>
        <v>24.56</v>
      </c>
      <c r="G39" s="9"/>
    </row>
    <row r="40" spans="1:7" ht="25.05" customHeight="1">
      <c r="A40" s="6">
        <v>37</v>
      </c>
      <c r="B40" s="7" t="s">
        <v>23</v>
      </c>
      <c r="C40" s="6" t="s">
        <v>67</v>
      </c>
      <c r="D40" s="6" t="s">
        <v>249</v>
      </c>
      <c r="E40" s="8" t="s">
        <v>332</v>
      </c>
      <c r="F40" s="25">
        <v>7</v>
      </c>
      <c r="G40" s="8"/>
    </row>
    <row r="41" spans="1:7" ht="25.05" customHeight="1">
      <c r="A41" s="6">
        <v>38</v>
      </c>
      <c r="B41" s="7" t="s">
        <v>23</v>
      </c>
      <c r="C41" s="6" t="s">
        <v>67</v>
      </c>
      <c r="D41" s="6" t="s">
        <v>249</v>
      </c>
      <c r="E41" s="8" t="s">
        <v>333</v>
      </c>
      <c r="F41" s="25">
        <v>7</v>
      </c>
      <c r="G41" s="8"/>
    </row>
    <row r="42" spans="1:7" ht="25.05" customHeight="1">
      <c r="A42" s="6">
        <v>39</v>
      </c>
      <c r="B42" s="7" t="s">
        <v>23</v>
      </c>
      <c r="C42" s="6" t="s">
        <v>67</v>
      </c>
      <c r="D42" s="6" t="s">
        <v>249</v>
      </c>
      <c r="E42" s="8" t="s">
        <v>334</v>
      </c>
      <c r="F42" s="25">
        <v>36</v>
      </c>
      <c r="G42" s="8"/>
    </row>
    <row r="43" spans="1:7" ht="25.05" customHeight="1">
      <c r="A43" s="6">
        <v>40</v>
      </c>
      <c r="B43" s="7" t="s">
        <v>23</v>
      </c>
      <c r="C43" s="6" t="s">
        <v>67</v>
      </c>
      <c r="D43" s="6" t="s">
        <v>249</v>
      </c>
      <c r="E43" s="8" t="s">
        <v>335</v>
      </c>
      <c r="F43" s="25">
        <v>8</v>
      </c>
      <c r="G43" s="8"/>
    </row>
    <row r="44" spans="1:7" ht="25.05" customHeight="1">
      <c r="A44" s="6">
        <v>41</v>
      </c>
      <c r="B44" s="7" t="s">
        <v>23</v>
      </c>
      <c r="C44" s="6" t="s">
        <v>67</v>
      </c>
      <c r="D44" s="6" t="s">
        <v>249</v>
      </c>
      <c r="E44" s="8" t="s">
        <v>506</v>
      </c>
      <c r="F44" s="25">
        <v>4</v>
      </c>
      <c r="G44" s="8"/>
    </row>
    <row r="45" spans="1:7" ht="25.05" customHeight="1">
      <c r="A45" s="6">
        <v>42</v>
      </c>
      <c r="B45" s="7" t="s">
        <v>23</v>
      </c>
      <c r="C45" s="6" t="s">
        <v>67</v>
      </c>
      <c r="D45" s="3" t="s">
        <v>219</v>
      </c>
      <c r="E45" s="9" t="s">
        <v>255</v>
      </c>
      <c r="F45" s="79">
        <f>SUM(F40:F44)</f>
        <v>62</v>
      </c>
      <c r="G45" s="9"/>
    </row>
    <row r="46" spans="1:7" ht="25.05" customHeight="1">
      <c r="A46" s="6">
        <v>43</v>
      </c>
      <c r="B46" s="7" t="s">
        <v>23</v>
      </c>
      <c r="C46" s="6" t="s">
        <v>67</v>
      </c>
      <c r="D46" s="6" t="s">
        <v>262</v>
      </c>
      <c r="E46" s="8" t="s">
        <v>263</v>
      </c>
      <c r="F46" s="25">
        <v>90</v>
      </c>
      <c r="G46" s="8"/>
    </row>
    <row r="47" spans="1:7" ht="25.05" customHeight="1">
      <c r="A47" s="6">
        <v>44</v>
      </c>
      <c r="B47" s="7" t="s">
        <v>23</v>
      </c>
      <c r="C47" s="6" t="s">
        <v>67</v>
      </c>
      <c r="D47" s="6" t="s">
        <v>262</v>
      </c>
      <c r="E47" s="8" t="s">
        <v>507</v>
      </c>
      <c r="F47" s="25">
        <v>50</v>
      </c>
      <c r="G47" s="8"/>
    </row>
    <row r="48" spans="1:7" ht="25.05" customHeight="1">
      <c r="A48" s="6">
        <v>45</v>
      </c>
      <c r="B48" s="7" t="s">
        <v>23</v>
      </c>
      <c r="C48" s="6" t="s">
        <v>67</v>
      </c>
      <c r="D48" s="6" t="s">
        <v>262</v>
      </c>
      <c r="E48" s="8" t="s">
        <v>265</v>
      </c>
      <c r="F48" s="25">
        <v>20</v>
      </c>
      <c r="G48" s="8"/>
    </row>
    <row r="49" spans="1:7" ht="25.05" customHeight="1">
      <c r="A49" s="6">
        <v>46</v>
      </c>
      <c r="B49" s="7" t="s">
        <v>23</v>
      </c>
      <c r="C49" s="6" t="s">
        <v>67</v>
      </c>
      <c r="D49" s="3" t="s">
        <v>219</v>
      </c>
      <c r="E49" s="9" t="s">
        <v>266</v>
      </c>
      <c r="F49" s="79">
        <f>SUM(F46:F48)</f>
        <v>160</v>
      </c>
      <c r="G49" s="9"/>
    </row>
    <row r="50" spans="1:7" ht="25.05" customHeight="1">
      <c r="A50" s="6">
        <v>47</v>
      </c>
      <c r="B50" s="7" t="s">
        <v>23</v>
      </c>
      <c r="C50" s="6" t="s">
        <v>67</v>
      </c>
      <c r="D50" s="3" t="s">
        <v>267</v>
      </c>
      <c r="E50" s="10" t="s">
        <v>508</v>
      </c>
      <c r="F50" s="85">
        <v>870</v>
      </c>
      <c r="G50" s="9"/>
    </row>
    <row r="51" spans="1:7" ht="25.05" customHeight="1">
      <c r="A51" s="220" t="s">
        <v>509</v>
      </c>
      <c r="B51" s="221"/>
      <c r="C51" s="221"/>
      <c r="D51" s="221"/>
      <c r="E51" s="221"/>
      <c r="F51" s="221"/>
      <c r="G51" s="222"/>
    </row>
  </sheetData>
  <autoFilter ref="A3:G51" xr:uid="{00000000-0009-0000-0000-000013000000}"/>
  <mergeCells count="3">
    <mergeCell ref="A1:G1"/>
    <mergeCell ref="A2:G2"/>
    <mergeCell ref="A51:G51"/>
  </mergeCells>
  <phoneticPr fontId="23" type="noConversion"/>
  <pageMargins left="0.59055118110236204" right="0.23622047244094499" top="0.35433070866141703" bottom="0.511811023622047" header="0.39370078740157499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G51"/>
  <sheetViews>
    <sheetView view="pageBreakPreview" zoomScale="130" zoomScaleNormal="100" workbookViewId="0">
      <selection activeCell="E9" sqref="E9"/>
    </sheetView>
  </sheetViews>
  <sheetFormatPr defaultColWidth="9" defaultRowHeight="19.05" customHeight="1"/>
  <cols>
    <col min="1" max="1" width="4.06640625" style="1" customWidth="1"/>
    <col min="2" max="2" width="7.73046875" style="2" customWidth="1"/>
    <col min="3" max="3" width="14.46484375" style="1" customWidth="1"/>
    <col min="4" max="4" width="10.19921875" style="1" customWidth="1"/>
    <col min="5" max="5" width="46" style="1" customWidth="1"/>
    <col min="6" max="6" width="6.19921875" style="78" customWidth="1"/>
    <col min="7" max="7" width="7.53125" style="1" customWidth="1"/>
  </cols>
  <sheetData>
    <row r="1" spans="1:7" ht="25.05" customHeight="1">
      <c r="A1" s="215" t="s">
        <v>510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511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512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512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512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512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512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512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512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512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23</v>
      </c>
      <c r="C12" s="6" t="s">
        <v>512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512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512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23</v>
      </c>
      <c r="C15" s="6" t="s">
        <v>512</v>
      </c>
      <c r="D15" s="6" t="s">
        <v>221</v>
      </c>
      <c r="E15" s="8" t="s">
        <v>222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512</v>
      </c>
      <c r="D16" s="6" t="s">
        <v>221</v>
      </c>
      <c r="E16" s="8" t="s">
        <v>223</v>
      </c>
      <c r="F16" s="25">
        <v>22</v>
      </c>
      <c r="G16" s="8"/>
    </row>
    <row r="17" spans="1:7" ht="25.05" customHeight="1">
      <c r="A17" s="6">
        <v>14</v>
      </c>
      <c r="B17" s="7" t="s">
        <v>23</v>
      </c>
      <c r="C17" s="6" t="s">
        <v>512</v>
      </c>
      <c r="D17" s="6" t="s">
        <v>221</v>
      </c>
      <c r="E17" s="8" t="s">
        <v>314</v>
      </c>
      <c r="F17" s="25">
        <v>9</v>
      </c>
      <c r="G17" s="8"/>
    </row>
    <row r="18" spans="1:7" ht="25.05" customHeight="1">
      <c r="A18" s="6">
        <v>15</v>
      </c>
      <c r="B18" s="7" t="s">
        <v>23</v>
      </c>
      <c r="C18" s="6" t="s">
        <v>512</v>
      </c>
      <c r="D18" s="6" t="s">
        <v>221</v>
      </c>
      <c r="E18" s="8" t="s">
        <v>225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512</v>
      </c>
      <c r="D19" s="6" t="s">
        <v>221</v>
      </c>
      <c r="E19" s="8" t="s">
        <v>226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512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512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ht="25.05" customHeight="1">
      <c r="A22" s="6">
        <v>19</v>
      </c>
      <c r="B22" s="7" t="s">
        <v>23</v>
      </c>
      <c r="C22" s="6" t="s">
        <v>512</v>
      </c>
      <c r="D22" s="6" t="s">
        <v>229</v>
      </c>
      <c r="E22" s="8" t="s">
        <v>230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512</v>
      </c>
      <c r="D23" s="6" t="s">
        <v>229</v>
      </c>
      <c r="E23" s="8" t="s">
        <v>231</v>
      </c>
      <c r="F23" s="25">
        <v>32</v>
      </c>
      <c r="G23" s="8"/>
    </row>
    <row r="24" spans="1:7" ht="25.05" customHeight="1">
      <c r="A24" s="6">
        <v>21</v>
      </c>
      <c r="B24" s="7" t="s">
        <v>23</v>
      </c>
      <c r="C24" s="6" t="s">
        <v>512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512</v>
      </c>
      <c r="D25" s="6" t="s">
        <v>229</v>
      </c>
      <c r="E25" s="8" t="s">
        <v>233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512</v>
      </c>
      <c r="D26" s="6" t="s">
        <v>229</v>
      </c>
      <c r="E26" s="8" t="s">
        <v>234</v>
      </c>
      <c r="F26" s="25">
        <v>19</v>
      </c>
      <c r="G26" s="8"/>
    </row>
    <row r="27" spans="1:7" ht="25.05" customHeight="1">
      <c r="A27" s="6">
        <v>24</v>
      </c>
      <c r="B27" s="7" t="s">
        <v>23</v>
      </c>
      <c r="C27" s="6" t="s">
        <v>512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512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23</v>
      </c>
      <c r="C29" s="6" t="s">
        <v>512</v>
      </c>
      <c r="D29" s="3" t="s">
        <v>219</v>
      </c>
      <c r="E29" s="9" t="s">
        <v>238</v>
      </c>
      <c r="F29" s="79">
        <f>SUM(F22:F28)</f>
        <v>126</v>
      </c>
      <c r="G29" s="9"/>
    </row>
    <row r="30" spans="1:7" ht="25.05" customHeight="1">
      <c r="A30" s="6">
        <v>27</v>
      </c>
      <c r="B30" s="7" t="s">
        <v>23</v>
      </c>
      <c r="C30" s="6" t="s">
        <v>512</v>
      </c>
      <c r="D30" s="6" t="s">
        <v>239</v>
      </c>
      <c r="E30" s="8" t="s">
        <v>240</v>
      </c>
      <c r="F30" s="25">
        <v>70</v>
      </c>
      <c r="G30" s="8"/>
    </row>
    <row r="31" spans="1:7" ht="25.05" customHeight="1">
      <c r="A31" s="6">
        <v>28</v>
      </c>
      <c r="B31" s="7" t="s">
        <v>23</v>
      </c>
      <c r="C31" s="6" t="s">
        <v>512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512</v>
      </c>
      <c r="D32" s="3" t="s">
        <v>219</v>
      </c>
      <c r="E32" s="9" t="s">
        <v>242</v>
      </c>
      <c r="F32" s="79">
        <f>SUM(F30:F31)</f>
        <v>130</v>
      </c>
      <c r="G32" s="9"/>
    </row>
    <row r="33" spans="1:7" ht="25.05" customHeight="1">
      <c r="A33" s="6">
        <v>30</v>
      </c>
      <c r="B33" s="7" t="s">
        <v>23</v>
      </c>
      <c r="C33" s="6" t="s">
        <v>512</v>
      </c>
      <c r="D33" s="6" t="s">
        <v>259</v>
      </c>
      <c r="E33" s="8" t="s">
        <v>317</v>
      </c>
      <c r="F33" s="77">
        <v>10</v>
      </c>
      <c r="G33" s="8"/>
    </row>
    <row r="34" spans="1:7" ht="25.05" customHeight="1">
      <c r="A34" s="6">
        <v>31</v>
      </c>
      <c r="B34" s="7" t="s">
        <v>23</v>
      </c>
      <c r="C34" s="6" t="s">
        <v>512</v>
      </c>
      <c r="D34" s="3" t="s">
        <v>219</v>
      </c>
      <c r="E34" s="9" t="s">
        <v>261</v>
      </c>
      <c r="F34" s="79">
        <f>SUM(F33:F33)</f>
        <v>10</v>
      </c>
      <c r="G34" s="9"/>
    </row>
    <row r="35" spans="1:7" ht="25.05" customHeight="1">
      <c r="A35" s="6">
        <v>32</v>
      </c>
      <c r="B35" s="7" t="s">
        <v>23</v>
      </c>
      <c r="C35" s="6" t="s">
        <v>512</v>
      </c>
      <c r="D35" s="6" t="s">
        <v>243</v>
      </c>
      <c r="E35" s="8" t="s">
        <v>319</v>
      </c>
      <c r="F35" s="25">
        <v>6</v>
      </c>
      <c r="G35" s="8"/>
    </row>
    <row r="36" spans="1:7" ht="25.05" customHeight="1">
      <c r="A36" s="6">
        <v>33</v>
      </c>
      <c r="B36" s="7" t="s">
        <v>23</v>
      </c>
      <c r="C36" s="6" t="s">
        <v>512</v>
      </c>
      <c r="D36" s="6" t="s">
        <v>243</v>
      </c>
      <c r="E36" s="8" t="s">
        <v>320</v>
      </c>
      <c r="F36" s="25">
        <v>6</v>
      </c>
      <c r="G36" s="8"/>
    </row>
    <row r="37" spans="1:7" ht="25.05" customHeight="1">
      <c r="A37" s="6">
        <v>34</v>
      </c>
      <c r="B37" s="7" t="s">
        <v>23</v>
      </c>
      <c r="C37" s="6" t="s">
        <v>512</v>
      </c>
      <c r="D37" s="6" t="s">
        <v>243</v>
      </c>
      <c r="E37" s="8" t="s">
        <v>321</v>
      </c>
      <c r="F37" s="25">
        <v>10.56</v>
      </c>
      <c r="G37" s="8"/>
    </row>
    <row r="38" spans="1:7" ht="25.05" customHeight="1">
      <c r="A38" s="6">
        <v>35</v>
      </c>
      <c r="B38" s="7" t="s">
        <v>23</v>
      </c>
      <c r="C38" s="6" t="s">
        <v>512</v>
      </c>
      <c r="D38" s="6" t="s">
        <v>243</v>
      </c>
      <c r="E38" s="8" t="s">
        <v>247</v>
      </c>
      <c r="F38" s="25">
        <v>2</v>
      </c>
      <c r="G38" s="8"/>
    </row>
    <row r="39" spans="1:7" ht="25.05" customHeight="1">
      <c r="A39" s="6">
        <v>36</v>
      </c>
      <c r="B39" s="7" t="s">
        <v>23</v>
      </c>
      <c r="C39" s="6" t="s">
        <v>512</v>
      </c>
      <c r="D39" s="3" t="s">
        <v>219</v>
      </c>
      <c r="E39" s="9" t="s">
        <v>248</v>
      </c>
      <c r="F39" s="79">
        <f>SUM(F35:F38)</f>
        <v>24.56</v>
      </c>
      <c r="G39" s="9"/>
    </row>
    <row r="40" spans="1:7" ht="25.05" customHeight="1">
      <c r="A40" s="6">
        <v>37</v>
      </c>
      <c r="B40" s="7" t="s">
        <v>23</v>
      </c>
      <c r="C40" s="6" t="s">
        <v>512</v>
      </c>
      <c r="D40" s="6" t="s">
        <v>249</v>
      </c>
      <c r="E40" s="8" t="s">
        <v>332</v>
      </c>
      <c r="F40" s="25">
        <v>7</v>
      </c>
      <c r="G40" s="8"/>
    </row>
    <row r="41" spans="1:7" ht="25.05" customHeight="1">
      <c r="A41" s="6">
        <v>38</v>
      </c>
      <c r="B41" s="7" t="s">
        <v>23</v>
      </c>
      <c r="C41" s="6" t="s">
        <v>512</v>
      </c>
      <c r="D41" s="6" t="s">
        <v>249</v>
      </c>
      <c r="E41" s="8" t="s">
        <v>333</v>
      </c>
      <c r="F41" s="25">
        <v>7</v>
      </c>
      <c r="G41" s="8"/>
    </row>
    <row r="42" spans="1:7" ht="25.05" customHeight="1">
      <c r="A42" s="6">
        <v>39</v>
      </c>
      <c r="B42" s="7" t="s">
        <v>23</v>
      </c>
      <c r="C42" s="6" t="s">
        <v>512</v>
      </c>
      <c r="D42" s="6" t="s">
        <v>249</v>
      </c>
      <c r="E42" s="8" t="s">
        <v>334</v>
      </c>
      <c r="F42" s="25">
        <v>36</v>
      </c>
      <c r="G42" s="8"/>
    </row>
    <row r="43" spans="1:7" ht="25.05" customHeight="1">
      <c r="A43" s="6">
        <v>40</v>
      </c>
      <c r="B43" s="7" t="s">
        <v>23</v>
      </c>
      <c r="C43" s="6" t="s">
        <v>512</v>
      </c>
      <c r="D43" s="6" t="s">
        <v>249</v>
      </c>
      <c r="E43" s="8" t="s">
        <v>335</v>
      </c>
      <c r="F43" s="25">
        <v>8</v>
      </c>
      <c r="G43" s="8"/>
    </row>
    <row r="44" spans="1:7" ht="25.05" customHeight="1">
      <c r="A44" s="6">
        <v>41</v>
      </c>
      <c r="B44" s="7" t="s">
        <v>23</v>
      </c>
      <c r="C44" s="6" t="s">
        <v>512</v>
      </c>
      <c r="D44" s="6" t="s">
        <v>249</v>
      </c>
      <c r="E44" s="8" t="s">
        <v>506</v>
      </c>
      <c r="F44" s="25">
        <v>4</v>
      </c>
      <c r="G44" s="8"/>
    </row>
    <row r="45" spans="1:7" ht="25.05" customHeight="1">
      <c r="A45" s="6">
        <v>42</v>
      </c>
      <c r="B45" s="7" t="s">
        <v>23</v>
      </c>
      <c r="C45" s="6" t="s">
        <v>512</v>
      </c>
      <c r="D45" s="3" t="s">
        <v>219</v>
      </c>
      <c r="E45" s="9" t="s">
        <v>255</v>
      </c>
      <c r="F45" s="79">
        <f>SUM(F40:F44)</f>
        <v>62</v>
      </c>
      <c r="G45" s="9"/>
    </row>
    <row r="46" spans="1:7" ht="25.05" customHeight="1">
      <c r="A46" s="6">
        <v>43</v>
      </c>
      <c r="B46" s="7" t="s">
        <v>23</v>
      </c>
      <c r="C46" s="6" t="s">
        <v>512</v>
      </c>
      <c r="D46" s="6" t="s">
        <v>262</v>
      </c>
      <c r="E46" s="8" t="s">
        <v>263</v>
      </c>
      <c r="F46" s="25">
        <v>90</v>
      </c>
      <c r="G46" s="8"/>
    </row>
    <row r="47" spans="1:7" ht="25.05" customHeight="1">
      <c r="A47" s="6">
        <v>44</v>
      </c>
      <c r="B47" s="7" t="s">
        <v>23</v>
      </c>
      <c r="C47" s="6" t="s">
        <v>512</v>
      </c>
      <c r="D47" s="6" t="s">
        <v>262</v>
      </c>
      <c r="E47" s="8" t="s">
        <v>507</v>
      </c>
      <c r="F47" s="25">
        <v>50</v>
      </c>
      <c r="G47" s="8"/>
    </row>
    <row r="48" spans="1:7" ht="25.05" customHeight="1">
      <c r="A48" s="6">
        <v>45</v>
      </c>
      <c r="B48" s="7" t="s">
        <v>23</v>
      </c>
      <c r="C48" s="6" t="s">
        <v>512</v>
      </c>
      <c r="D48" s="6" t="s">
        <v>262</v>
      </c>
      <c r="E48" s="8" t="s">
        <v>265</v>
      </c>
      <c r="F48" s="25">
        <v>20</v>
      </c>
      <c r="G48" s="8"/>
    </row>
    <row r="49" spans="1:7" ht="25.05" customHeight="1">
      <c r="A49" s="6">
        <v>46</v>
      </c>
      <c r="B49" s="7" t="s">
        <v>23</v>
      </c>
      <c r="C49" s="6" t="s">
        <v>512</v>
      </c>
      <c r="D49" s="3" t="s">
        <v>219</v>
      </c>
      <c r="E49" s="9" t="s">
        <v>266</v>
      </c>
      <c r="F49" s="79">
        <f>SUM(F46:F48)</f>
        <v>160</v>
      </c>
      <c r="G49" s="9"/>
    </row>
    <row r="50" spans="1:7" ht="25.05" customHeight="1">
      <c r="A50" s="6">
        <v>47</v>
      </c>
      <c r="B50" s="7" t="s">
        <v>23</v>
      </c>
      <c r="C50" s="6" t="s">
        <v>512</v>
      </c>
      <c r="D50" s="3" t="s">
        <v>267</v>
      </c>
      <c r="E50" s="10" t="s">
        <v>513</v>
      </c>
      <c r="F50" s="85">
        <v>870</v>
      </c>
      <c r="G50" s="9"/>
    </row>
    <row r="51" spans="1:7" ht="25.05" customHeight="1">
      <c r="A51" s="220" t="s">
        <v>437</v>
      </c>
      <c r="B51" s="221"/>
      <c r="C51" s="221"/>
      <c r="D51" s="221"/>
      <c r="E51" s="221"/>
      <c r="F51" s="221"/>
      <c r="G51" s="222"/>
    </row>
  </sheetData>
  <autoFilter ref="A3:G51" xr:uid="{00000000-0009-0000-0000-000014000000}"/>
  <mergeCells count="3">
    <mergeCell ref="A1:G1"/>
    <mergeCell ref="A2:G2"/>
    <mergeCell ref="A51:G51"/>
  </mergeCells>
  <phoneticPr fontId="23" type="noConversion"/>
  <pageMargins left="0.59055118110236204" right="0.2" top="0.39370078740157499" bottom="0.511811023622047" header="0.39370078740157499" footer="0.27559055118110198"/>
  <pageSetup paperSize="9" orientation="portrait" horizontalDpi="300" verticalDpi="300" r:id="rId1"/>
  <headerFooter>
    <oddHeader>&amp;C第 &amp;P 页，共 &amp;N 页</oddHeader>
    <oddFooter>&amp;C&amp;8第 &amp;P 页，共 &amp;N 页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G57"/>
  <sheetViews>
    <sheetView view="pageBreakPreview" zoomScale="115" zoomScaleNormal="100" workbookViewId="0">
      <selection activeCell="G7" sqref="G7"/>
    </sheetView>
  </sheetViews>
  <sheetFormatPr defaultColWidth="9" defaultRowHeight="19.05" customHeight="1"/>
  <cols>
    <col min="1" max="1" width="4.06640625" style="1" customWidth="1"/>
    <col min="2" max="2" width="8.19921875" style="2" customWidth="1"/>
    <col min="3" max="3" width="16.33203125" style="1" customWidth="1"/>
    <col min="4" max="4" width="10.46484375" style="1" customWidth="1"/>
    <col min="5" max="5" width="41.59765625" style="1" customWidth="1"/>
    <col min="6" max="6" width="6.73046875" style="78" customWidth="1"/>
    <col min="7" max="7" width="8" style="1" customWidth="1"/>
  </cols>
  <sheetData>
    <row r="1" spans="1:7" ht="25.05" customHeight="1">
      <c r="A1" s="215" t="s">
        <v>514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515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516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516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516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516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516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516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516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516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23</v>
      </c>
      <c r="C12" s="6" t="s">
        <v>516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516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516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23</v>
      </c>
      <c r="C15" s="6" t="s">
        <v>516</v>
      </c>
      <c r="D15" s="6" t="s">
        <v>221</v>
      </c>
      <c r="E15" s="8" t="s">
        <v>222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516</v>
      </c>
      <c r="D16" s="6" t="s">
        <v>221</v>
      </c>
      <c r="E16" s="8" t="s">
        <v>223</v>
      </c>
      <c r="F16" s="25">
        <v>22</v>
      </c>
      <c r="G16" s="8"/>
    </row>
    <row r="17" spans="1:7" ht="25.05" customHeight="1">
      <c r="A17" s="6">
        <v>14</v>
      </c>
      <c r="B17" s="7" t="s">
        <v>23</v>
      </c>
      <c r="C17" s="6" t="s">
        <v>516</v>
      </c>
      <c r="D17" s="6" t="s">
        <v>221</v>
      </c>
      <c r="E17" s="8" t="s">
        <v>314</v>
      </c>
      <c r="F17" s="25">
        <v>9</v>
      </c>
      <c r="G17" s="8"/>
    </row>
    <row r="18" spans="1:7" ht="25.05" customHeight="1">
      <c r="A18" s="6">
        <v>15</v>
      </c>
      <c r="B18" s="7" t="s">
        <v>23</v>
      </c>
      <c r="C18" s="6" t="s">
        <v>516</v>
      </c>
      <c r="D18" s="6" t="s">
        <v>221</v>
      </c>
      <c r="E18" s="8" t="s">
        <v>225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516</v>
      </c>
      <c r="D19" s="6" t="s">
        <v>221</v>
      </c>
      <c r="E19" s="8" t="s">
        <v>294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516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516</v>
      </c>
      <c r="D21" s="3" t="s">
        <v>219</v>
      </c>
      <c r="E21" s="9" t="s">
        <v>228</v>
      </c>
      <c r="F21" s="79">
        <f>SUM(F15:F20)</f>
        <v>107</v>
      </c>
      <c r="G21" s="9"/>
    </row>
    <row r="22" spans="1:7" ht="25.05" customHeight="1">
      <c r="A22" s="6">
        <v>19</v>
      </c>
      <c r="B22" s="7" t="s">
        <v>23</v>
      </c>
      <c r="C22" s="6" t="s">
        <v>516</v>
      </c>
      <c r="D22" s="6" t="s">
        <v>229</v>
      </c>
      <c r="E22" s="8" t="s">
        <v>517</v>
      </c>
      <c r="F22" s="25">
        <v>7</v>
      </c>
      <c r="G22" s="8"/>
    </row>
    <row r="23" spans="1:7" ht="25.05" customHeight="1">
      <c r="A23" s="6">
        <v>20</v>
      </c>
      <c r="B23" s="7" t="s">
        <v>23</v>
      </c>
      <c r="C23" s="6" t="s">
        <v>516</v>
      </c>
      <c r="D23" s="6" t="s">
        <v>229</v>
      </c>
      <c r="E23" s="8" t="s">
        <v>518</v>
      </c>
      <c r="F23" s="25">
        <v>16</v>
      </c>
      <c r="G23" s="8"/>
    </row>
    <row r="24" spans="1:7" ht="25.05" customHeight="1">
      <c r="A24" s="6">
        <v>21</v>
      </c>
      <c r="B24" s="7" t="s">
        <v>23</v>
      </c>
      <c r="C24" s="6" t="s">
        <v>516</v>
      </c>
      <c r="D24" s="6" t="s">
        <v>229</v>
      </c>
      <c r="E24" s="8" t="s">
        <v>519</v>
      </c>
      <c r="F24" s="25">
        <v>9</v>
      </c>
      <c r="G24" s="8"/>
    </row>
    <row r="25" spans="1:7" ht="25.05" customHeight="1">
      <c r="A25" s="6">
        <v>22</v>
      </c>
      <c r="B25" s="7" t="s">
        <v>23</v>
      </c>
      <c r="C25" s="6" t="s">
        <v>516</v>
      </c>
      <c r="D25" s="6" t="s">
        <v>229</v>
      </c>
      <c r="E25" s="8" t="s">
        <v>520</v>
      </c>
      <c r="F25" s="25">
        <v>13</v>
      </c>
      <c r="G25" s="8"/>
    </row>
    <row r="26" spans="1:7" ht="25.05" customHeight="1">
      <c r="A26" s="6">
        <v>23</v>
      </c>
      <c r="B26" s="7" t="s">
        <v>23</v>
      </c>
      <c r="C26" s="6" t="s">
        <v>516</v>
      </c>
      <c r="D26" s="6" t="s">
        <v>229</v>
      </c>
      <c r="E26" s="8" t="s">
        <v>521</v>
      </c>
      <c r="F26" s="25">
        <v>10</v>
      </c>
      <c r="G26" s="8"/>
    </row>
    <row r="27" spans="1:7" ht="25.05" customHeight="1">
      <c r="A27" s="6">
        <v>24</v>
      </c>
      <c r="B27" s="7" t="s">
        <v>23</v>
      </c>
      <c r="C27" s="6" t="s">
        <v>516</v>
      </c>
      <c r="D27" s="6" t="s">
        <v>229</v>
      </c>
      <c r="E27" s="8" t="s">
        <v>522</v>
      </c>
      <c r="F27" s="25">
        <v>4</v>
      </c>
      <c r="G27" s="8"/>
    </row>
    <row r="28" spans="1:7" ht="25.05" customHeight="1">
      <c r="A28" s="6">
        <v>25</v>
      </c>
      <c r="B28" s="7" t="s">
        <v>23</v>
      </c>
      <c r="C28" s="6" t="s">
        <v>516</v>
      </c>
      <c r="D28" s="6" t="s">
        <v>229</v>
      </c>
      <c r="E28" s="8" t="s">
        <v>523</v>
      </c>
      <c r="F28" s="25">
        <v>5</v>
      </c>
      <c r="G28" s="8"/>
    </row>
    <row r="29" spans="1:7" ht="25.05" customHeight="1">
      <c r="A29" s="6">
        <v>26</v>
      </c>
      <c r="B29" s="7" t="s">
        <v>23</v>
      </c>
      <c r="C29" s="6" t="s">
        <v>516</v>
      </c>
      <c r="D29" s="3" t="s">
        <v>219</v>
      </c>
      <c r="E29" s="9" t="s">
        <v>524</v>
      </c>
      <c r="F29" s="79">
        <f>SUM(F22:F28)</f>
        <v>64</v>
      </c>
      <c r="G29" s="9"/>
    </row>
    <row r="30" spans="1:7" ht="25.05" customHeight="1">
      <c r="A30" s="6">
        <v>27</v>
      </c>
      <c r="B30" s="7" t="s">
        <v>23</v>
      </c>
      <c r="C30" s="6" t="s">
        <v>516</v>
      </c>
      <c r="D30" s="6" t="s">
        <v>229</v>
      </c>
      <c r="E30" s="8" t="s">
        <v>525</v>
      </c>
      <c r="F30" s="25">
        <v>7</v>
      </c>
      <c r="G30" s="8"/>
    </row>
    <row r="31" spans="1:7" ht="25.05" customHeight="1">
      <c r="A31" s="6">
        <v>28</v>
      </c>
      <c r="B31" s="7" t="s">
        <v>23</v>
      </c>
      <c r="C31" s="6" t="s">
        <v>516</v>
      </c>
      <c r="D31" s="6" t="s">
        <v>229</v>
      </c>
      <c r="E31" s="8" t="s">
        <v>526</v>
      </c>
      <c r="F31" s="25">
        <v>35</v>
      </c>
      <c r="G31" s="8"/>
    </row>
    <row r="32" spans="1:7" ht="25.05" customHeight="1">
      <c r="A32" s="6">
        <v>29</v>
      </c>
      <c r="B32" s="7" t="s">
        <v>23</v>
      </c>
      <c r="C32" s="6" t="s">
        <v>516</v>
      </c>
      <c r="D32" s="6" t="s">
        <v>229</v>
      </c>
      <c r="E32" s="8" t="s">
        <v>527</v>
      </c>
      <c r="F32" s="25">
        <v>12</v>
      </c>
      <c r="G32" s="8"/>
    </row>
    <row r="33" spans="1:7" ht="25.05" customHeight="1">
      <c r="A33" s="6">
        <v>30</v>
      </c>
      <c r="B33" s="7" t="s">
        <v>23</v>
      </c>
      <c r="C33" s="6" t="s">
        <v>516</v>
      </c>
      <c r="D33" s="6" t="s">
        <v>229</v>
      </c>
      <c r="E33" s="8" t="s">
        <v>528</v>
      </c>
      <c r="F33" s="25">
        <v>30</v>
      </c>
      <c r="G33" s="8"/>
    </row>
    <row r="34" spans="1:7" ht="25.05" customHeight="1">
      <c r="A34" s="6">
        <v>31</v>
      </c>
      <c r="B34" s="7" t="s">
        <v>23</v>
      </c>
      <c r="C34" s="6" t="s">
        <v>516</v>
      </c>
      <c r="D34" s="3" t="s">
        <v>219</v>
      </c>
      <c r="E34" s="9" t="s">
        <v>529</v>
      </c>
      <c r="F34" s="79">
        <f>SUM(F30:F33)</f>
        <v>84</v>
      </c>
      <c r="G34" s="9"/>
    </row>
    <row r="35" spans="1:7" ht="25.05" customHeight="1">
      <c r="A35" s="6">
        <v>32</v>
      </c>
      <c r="B35" s="7" t="s">
        <v>23</v>
      </c>
      <c r="C35" s="6" t="s">
        <v>516</v>
      </c>
      <c r="D35" s="6" t="s">
        <v>239</v>
      </c>
      <c r="E35" s="8" t="s">
        <v>240</v>
      </c>
      <c r="F35" s="25">
        <v>70</v>
      </c>
      <c r="G35" s="8"/>
    </row>
    <row r="36" spans="1:7" ht="25.05" customHeight="1">
      <c r="A36" s="6">
        <v>33</v>
      </c>
      <c r="B36" s="7" t="s">
        <v>23</v>
      </c>
      <c r="C36" s="6" t="s">
        <v>516</v>
      </c>
      <c r="D36" s="6" t="s">
        <v>239</v>
      </c>
      <c r="E36" s="8" t="s">
        <v>241</v>
      </c>
      <c r="F36" s="25">
        <v>60</v>
      </c>
      <c r="G36" s="8"/>
    </row>
    <row r="37" spans="1:7" ht="25.05" customHeight="1">
      <c r="A37" s="6">
        <v>34</v>
      </c>
      <c r="B37" s="7" t="s">
        <v>23</v>
      </c>
      <c r="C37" s="6" t="s">
        <v>516</v>
      </c>
      <c r="D37" s="3" t="s">
        <v>219</v>
      </c>
      <c r="E37" s="9" t="s">
        <v>242</v>
      </c>
      <c r="F37" s="79">
        <f>SUM(F35:F36)</f>
        <v>130</v>
      </c>
      <c r="G37" s="9"/>
    </row>
    <row r="38" spans="1:7" ht="25.05" customHeight="1">
      <c r="A38" s="6">
        <v>35</v>
      </c>
      <c r="B38" s="7" t="s">
        <v>23</v>
      </c>
      <c r="C38" s="6" t="s">
        <v>516</v>
      </c>
      <c r="D38" s="6" t="s">
        <v>259</v>
      </c>
      <c r="E38" s="8" t="s">
        <v>530</v>
      </c>
      <c r="F38" s="25">
        <v>260</v>
      </c>
      <c r="G38" s="8"/>
    </row>
    <row r="39" spans="1:7" ht="25.05" customHeight="1">
      <c r="A39" s="6">
        <v>36</v>
      </c>
      <c r="B39" s="7" t="s">
        <v>23</v>
      </c>
      <c r="C39" s="6" t="s">
        <v>516</v>
      </c>
      <c r="D39" s="6" t="s">
        <v>259</v>
      </c>
      <c r="E39" s="8" t="s">
        <v>531</v>
      </c>
      <c r="F39" s="25">
        <v>10</v>
      </c>
      <c r="G39" s="8"/>
    </row>
    <row r="40" spans="1:7" ht="25.05" customHeight="1">
      <c r="A40" s="6">
        <v>37</v>
      </c>
      <c r="B40" s="7" t="s">
        <v>23</v>
      </c>
      <c r="C40" s="6" t="s">
        <v>516</v>
      </c>
      <c r="D40" s="3" t="s">
        <v>219</v>
      </c>
      <c r="E40" s="9" t="s">
        <v>300</v>
      </c>
      <c r="F40" s="79">
        <f>SUM(F38:F39)</f>
        <v>270</v>
      </c>
      <c r="G40" s="9"/>
    </row>
    <row r="41" spans="1:7" ht="25.05" customHeight="1">
      <c r="A41" s="6">
        <v>38</v>
      </c>
      <c r="B41" s="7" t="s">
        <v>23</v>
      </c>
      <c r="C41" s="6" t="s">
        <v>516</v>
      </c>
      <c r="D41" s="6" t="s">
        <v>243</v>
      </c>
      <c r="E41" s="8" t="s">
        <v>319</v>
      </c>
      <c r="F41" s="25">
        <v>6</v>
      </c>
      <c r="G41" s="8"/>
    </row>
    <row r="42" spans="1:7" ht="25.05" customHeight="1">
      <c r="A42" s="6">
        <v>39</v>
      </c>
      <c r="B42" s="7" t="s">
        <v>23</v>
      </c>
      <c r="C42" s="6" t="s">
        <v>516</v>
      </c>
      <c r="D42" s="6" t="s">
        <v>243</v>
      </c>
      <c r="E42" s="8" t="s">
        <v>320</v>
      </c>
      <c r="F42" s="25">
        <v>6</v>
      </c>
      <c r="G42" s="8"/>
    </row>
    <row r="43" spans="1:7" ht="25.05" customHeight="1">
      <c r="A43" s="6">
        <v>40</v>
      </c>
      <c r="B43" s="7" t="s">
        <v>23</v>
      </c>
      <c r="C43" s="6" t="s">
        <v>516</v>
      </c>
      <c r="D43" s="6" t="s">
        <v>243</v>
      </c>
      <c r="E43" s="8" t="s">
        <v>321</v>
      </c>
      <c r="F43" s="25">
        <v>10.56</v>
      </c>
      <c r="G43" s="8"/>
    </row>
    <row r="44" spans="1:7" ht="25.05" customHeight="1">
      <c r="A44" s="6">
        <v>41</v>
      </c>
      <c r="B44" s="7" t="s">
        <v>23</v>
      </c>
      <c r="C44" s="6" t="s">
        <v>516</v>
      </c>
      <c r="D44" s="6" t="s">
        <v>243</v>
      </c>
      <c r="E44" s="8" t="s">
        <v>247</v>
      </c>
      <c r="F44" s="25">
        <v>2</v>
      </c>
      <c r="G44" s="8"/>
    </row>
    <row r="45" spans="1:7" ht="25.05" customHeight="1">
      <c r="A45" s="6">
        <v>42</v>
      </c>
      <c r="B45" s="7" t="s">
        <v>23</v>
      </c>
      <c r="C45" s="6" t="s">
        <v>516</v>
      </c>
      <c r="D45" s="3" t="s">
        <v>219</v>
      </c>
      <c r="E45" s="9" t="s">
        <v>248</v>
      </c>
      <c r="F45" s="79">
        <f>SUM(F41:F44)</f>
        <v>24.56</v>
      </c>
      <c r="G45" s="9"/>
    </row>
    <row r="46" spans="1:7" ht="25.05" customHeight="1">
      <c r="A46" s="6">
        <v>43</v>
      </c>
      <c r="B46" s="7" t="s">
        <v>23</v>
      </c>
      <c r="C46" s="6" t="s">
        <v>516</v>
      </c>
      <c r="D46" s="6" t="s">
        <v>249</v>
      </c>
      <c r="E46" s="8" t="s">
        <v>332</v>
      </c>
      <c r="F46" s="25">
        <v>7</v>
      </c>
      <c r="G46" s="8"/>
    </row>
    <row r="47" spans="1:7" ht="25.05" customHeight="1">
      <c r="A47" s="6">
        <v>44</v>
      </c>
      <c r="B47" s="7" t="s">
        <v>23</v>
      </c>
      <c r="C47" s="6" t="s">
        <v>516</v>
      </c>
      <c r="D47" s="6" t="s">
        <v>249</v>
      </c>
      <c r="E47" s="8" t="s">
        <v>333</v>
      </c>
      <c r="F47" s="25">
        <v>7</v>
      </c>
      <c r="G47" s="8"/>
    </row>
    <row r="48" spans="1:7" ht="25.05" customHeight="1">
      <c r="A48" s="6">
        <v>45</v>
      </c>
      <c r="B48" s="7" t="s">
        <v>23</v>
      </c>
      <c r="C48" s="6" t="s">
        <v>516</v>
      </c>
      <c r="D48" s="6" t="s">
        <v>249</v>
      </c>
      <c r="E48" s="8" t="s">
        <v>334</v>
      </c>
      <c r="F48" s="25">
        <v>36</v>
      </c>
      <c r="G48" s="8"/>
    </row>
    <row r="49" spans="1:7" ht="25.05" customHeight="1">
      <c r="A49" s="6">
        <v>46</v>
      </c>
      <c r="B49" s="7" t="s">
        <v>23</v>
      </c>
      <c r="C49" s="6" t="s">
        <v>516</v>
      </c>
      <c r="D49" s="6" t="s">
        <v>249</v>
      </c>
      <c r="E49" s="8" t="s">
        <v>335</v>
      </c>
      <c r="F49" s="25">
        <v>8</v>
      </c>
      <c r="G49" s="8"/>
    </row>
    <row r="50" spans="1:7" ht="25.05" customHeight="1">
      <c r="A50" s="6">
        <v>47</v>
      </c>
      <c r="B50" s="7" t="s">
        <v>23</v>
      </c>
      <c r="C50" s="6" t="s">
        <v>516</v>
      </c>
      <c r="D50" s="6" t="s">
        <v>249</v>
      </c>
      <c r="E50" s="8" t="s">
        <v>506</v>
      </c>
      <c r="F50" s="25">
        <v>4</v>
      </c>
      <c r="G50" s="8"/>
    </row>
    <row r="51" spans="1:7" ht="25.05" customHeight="1">
      <c r="A51" s="6">
        <v>48</v>
      </c>
      <c r="B51" s="7" t="s">
        <v>23</v>
      </c>
      <c r="C51" s="6" t="s">
        <v>516</v>
      </c>
      <c r="D51" s="3" t="s">
        <v>219</v>
      </c>
      <c r="E51" s="9" t="s">
        <v>255</v>
      </c>
      <c r="F51" s="79">
        <f>SUM(F46:F50)</f>
        <v>62</v>
      </c>
      <c r="G51" s="9"/>
    </row>
    <row r="52" spans="1:7" ht="25.05" customHeight="1">
      <c r="A52" s="6">
        <v>49</v>
      </c>
      <c r="B52" s="7" t="s">
        <v>23</v>
      </c>
      <c r="C52" s="6" t="s">
        <v>516</v>
      </c>
      <c r="D52" s="6" t="s">
        <v>262</v>
      </c>
      <c r="E52" s="8" t="s">
        <v>263</v>
      </c>
      <c r="F52" s="25">
        <v>110</v>
      </c>
      <c r="G52" s="8"/>
    </row>
    <row r="53" spans="1:7" ht="25.05" customHeight="1">
      <c r="A53" s="6">
        <v>50</v>
      </c>
      <c r="B53" s="7" t="s">
        <v>23</v>
      </c>
      <c r="C53" s="6" t="s">
        <v>516</v>
      </c>
      <c r="D53" s="6" t="s">
        <v>262</v>
      </c>
      <c r="E53" s="8" t="s">
        <v>507</v>
      </c>
      <c r="F53" s="25">
        <v>50</v>
      </c>
      <c r="G53" s="8"/>
    </row>
    <row r="54" spans="1:7" ht="25.05" customHeight="1">
      <c r="A54" s="6">
        <v>51</v>
      </c>
      <c r="B54" s="7" t="s">
        <v>23</v>
      </c>
      <c r="C54" s="6" t="s">
        <v>516</v>
      </c>
      <c r="D54" s="6" t="s">
        <v>262</v>
      </c>
      <c r="E54" s="8" t="s">
        <v>265</v>
      </c>
      <c r="F54" s="25">
        <v>20</v>
      </c>
      <c r="G54" s="8"/>
    </row>
    <row r="55" spans="1:7" ht="25.05" customHeight="1">
      <c r="A55" s="6">
        <v>52</v>
      </c>
      <c r="B55" s="7" t="s">
        <v>23</v>
      </c>
      <c r="C55" s="6" t="s">
        <v>516</v>
      </c>
      <c r="D55" s="3" t="s">
        <v>219</v>
      </c>
      <c r="E55" s="9" t="s">
        <v>266</v>
      </c>
      <c r="F55" s="79">
        <f>SUM(F52:F54)</f>
        <v>180</v>
      </c>
      <c r="G55" s="9"/>
    </row>
    <row r="56" spans="1:7" ht="25.05" customHeight="1">
      <c r="A56" s="6">
        <v>53</v>
      </c>
      <c r="B56" s="7" t="s">
        <v>23</v>
      </c>
      <c r="C56" s="6" t="s">
        <v>516</v>
      </c>
      <c r="D56" s="3" t="s">
        <v>267</v>
      </c>
      <c r="E56" s="9" t="s">
        <v>532</v>
      </c>
      <c r="F56" s="79">
        <v>1172</v>
      </c>
      <c r="G56" s="9"/>
    </row>
    <row r="57" spans="1:7" ht="25.05" customHeight="1">
      <c r="A57" s="220" t="s">
        <v>357</v>
      </c>
      <c r="B57" s="221"/>
      <c r="C57" s="221"/>
      <c r="D57" s="221"/>
      <c r="E57" s="221"/>
      <c r="F57" s="221"/>
      <c r="G57" s="222"/>
    </row>
  </sheetData>
  <autoFilter ref="A3:G57" xr:uid="{00000000-0009-0000-0000-000015000000}"/>
  <mergeCells count="3">
    <mergeCell ref="A1:G1"/>
    <mergeCell ref="A2:G2"/>
    <mergeCell ref="A57:G57"/>
  </mergeCells>
  <phoneticPr fontId="23" type="noConversion"/>
  <pageMargins left="0.59055118110236204" right="0.24" top="0.27559055118110198" bottom="0.47244094488188998" header="0.31496062992126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G56"/>
  <sheetViews>
    <sheetView view="pageBreakPreview" zoomScale="130" zoomScaleNormal="100" workbookViewId="0">
      <selection activeCell="E8" sqref="E8"/>
    </sheetView>
  </sheetViews>
  <sheetFormatPr defaultColWidth="9" defaultRowHeight="13.5"/>
  <cols>
    <col min="1" max="1" width="3.73046875" style="100" customWidth="1"/>
    <col min="2" max="2" width="9" style="101" customWidth="1"/>
    <col min="3" max="3" width="14.9296875" style="100" customWidth="1"/>
    <col min="4" max="4" width="10.265625" style="100" customWidth="1"/>
    <col min="5" max="5" width="43.59765625" style="100" customWidth="1"/>
    <col min="6" max="6" width="7.06640625" style="113" customWidth="1"/>
    <col min="7" max="7" width="7.46484375" style="100" customWidth="1"/>
  </cols>
  <sheetData>
    <row r="1" spans="1:7" s="112" customFormat="1" ht="25.05" customHeight="1">
      <c r="A1" s="215" t="s">
        <v>533</v>
      </c>
      <c r="B1" s="215"/>
      <c r="C1" s="215"/>
      <c r="D1" s="215"/>
      <c r="E1" s="215"/>
      <c r="F1" s="235"/>
      <c r="G1" s="235"/>
    </row>
    <row r="2" spans="1:7" s="112" customFormat="1" ht="25.05" customHeight="1">
      <c r="A2" s="228" t="s">
        <v>534</v>
      </c>
      <c r="B2" s="228"/>
      <c r="C2" s="228"/>
      <c r="D2" s="228"/>
      <c r="E2" s="228"/>
      <c r="F2" s="228"/>
      <c r="G2" s="228"/>
    </row>
    <row r="3" spans="1:7" s="120" customFormat="1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s="120" customFormat="1" ht="25.05" customHeight="1">
      <c r="A4" s="6">
        <v>1</v>
      </c>
      <c r="B4" s="7" t="s">
        <v>32</v>
      </c>
      <c r="C4" s="6" t="s">
        <v>75</v>
      </c>
      <c r="D4" s="6" t="s">
        <v>209</v>
      </c>
      <c r="E4" s="8" t="s">
        <v>210</v>
      </c>
      <c r="F4" s="25">
        <v>19</v>
      </c>
      <c r="G4" s="8"/>
    </row>
    <row r="5" spans="1:7" s="120" customFormat="1" ht="25.05" customHeight="1">
      <c r="A5" s="6">
        <v>2</v>
      </c>
      <c r="B5" s="7" t="s">
        <v>32</v>
      </c>
      <c r="C5" s="6" t="s">
        <v>75</v>
      </c>
      <c r="D5" s="6" t="s">
        <v>209</v>
      </c>
      <c r="E5" s="8" t="s">
        <v>211</v>
      </c>
      <c r="F5" s="25">
        <v>15</v>
      </c>
      <c r="G5" s="8"/>
    </row>
    <row r="6" spans="1:7" s="120" customFormat="1" ht="25.05" customHeight="1">
      <c r="A6" s="6">
        <v>3</v>
      </c>
      <c r="B6" s="7" t="s">
        <v>32</v>
      </c>
      <c r="C6" s="6" t="s">
        <v>75</v>
      </c>
      <c r="D6" s="6" t="s">
        <v>209</v>
      </c>
      <c r="E6" s="8" t="s">
        <v>212</v>
      </c>
      <c r="F6" s="25">
        <v>34</v>
      </c>
      <c r="G6" s="8"/>
    </row>
    <row r="7" spans="1:7" s="120" customFormat="1" ht="25.05" customHeight="1">
      <c r="A7" s="6">
        <v>4</v>
      </c>
      <c r="B7" s="7" t="s">
        <v>32</v>
      </c>
      <c r="C7" s="6" t="s">
        <v>75</v>
      </c>
      <c r="D7" s="6" t="s">
        <v>209</v>
      </c>
      <c r="E7" s="8" t="s">
        <v>272</v>
      </c>
      <c r="F7" s="25">
        <v>34</v>
      </c>
      <c r="G7" s="8"/>
    </row>
    <row r="8" spans="1:7" s="120" customFormat="1" ht="25.05" customHeight="1">
      <c r="A8" s="6">
        <v>5</v>
      </c>
      <c r="B8" s="7" t="s">
        <v>32</v>
      </c>
      <c r="C8" s="6" t="s">
        <v>75</v>
      </c>
      <c r="D8" s="6" t="s">
        <v>209</v>
      </c>
      <c r="E8" s="8" t="s">
        <v>214</v>
      </c>
      <c r="F8" s="25">
        <v>26</v>
      </c>
      <c r="G8" s="8"/>
    </row>
    <row r="9" spans="1:7" s="120" customFormat="1" ht="25.05" customHeight="1">
      <c r="A9" s="6">
        <v>6</v>
      </c>
      <c r="B9" s="7" t="s">
        <v>32</v>
      </c>
      <c r="C9" s="6" t="s">
        <v>75</v>
      </c>
      <c r="D9" s="6" t="s">
        <v>209</v>
      </c>
      <c r="E9" s="8" t="s">
        <v>312</v>
      </c>
      <c r="F9" s="25">
        <v>10</v>
      </c>
      <c r="G9" s="8"/>
    </row>
    <row r="10" spans="1:7" s="120" customFormat="1" ht="25.05" customHeight="1">
      <c r="A10" s="6">
        <v>7</v>
      </c>
      <c r="B10" s="7" t="s">
        <v>32</v>
      </c>
      <c r="C10" s="6" t="s">
        <v>75</v>
      </c>
      <c r="D10" s="6" t="s">
        <v>209</v>
      </c>
      <c r="E10" s="8" t="s">
        <v>216</v>
      </c>
      <c r="F10" s="25">
        <v>35</v>
      </c>
      <c r="G10" s="8"/>
    </row>
    <row r="11" spans="1:7" s="120" customFormat="1" ht="25.05" customHeight="1">
      <c r="A11" s="6">
        <v>8</v>
      </c>
      <c r="B11" s="7" t="s">
        <v>32</v>
      </c>
      <c r="C11" s="6" t="s">
        <v>75</v>
      </c>
      <c r="D11" s="6" t="s">
        <v>209</v>
      </c>
      <c r="E11" s="8" t="s">
        <v>292</v>
      </c>
      <c r="F11" s="25">
        <v>12</v>
      </c>
      <c r="G11" s="8"/>
    </row>
    <row r="12" spans="1:7" s="120" customFormat="1" ht="25.05" customHeight="1">
      <c r="A12" s="6">
        <v>9</v>
      </c>
      <c r="B12" s="7" t="s">
        <v>32</v>
      </c>
      <c r="C12" s="6" t="s">
        <v>75</v>
      </c>
      <c r="D12" s="6" t="s">
        <v>209</v>
      </c>
      <c r="E12" s="8" t="s">
        <v>217</v>
      </c>
      <c r="F12" s="25">
        <v>55</v>
      </c>
      <c r="G12" s="8"/>
    </row>
    <row r="13" spans="1:7" s="120" customFormat="1" ht="25.05" customHeight="1">
      <c r="A13" s="6">
        <v>10</v>
      </c>
      <c r="B13" s="7" t="s">
        <v>32</v>
      </c>
      <c r="C13" s="6" t="s">
        <v>75</v>
      </c>
      <c r="D13" s="6" t="s">
        <v>209</v>
      </c>
      <c r="E13" s="8" t="s">
        <v>218</v>
      </c>
      <c r="F13" s="25">
        <v>10</v>
      </c>
      <c r="G13" s="8"/>
    </row>
    <row r="14" spans="1:7" s="120" customFormat="1" ht="25.05" customHeight="1">
      <c r="A14" s="6">
        <v>11</v>
      </c>
      <c r="B14" s="7" t="s">
        <v>32</v>
      </c>
      <c r="C14" s="6" t="s">
        <v>75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s="120" customFormat="1" ht="25.05" customHeight="1">
      <c r="A15" s="6">
        <v>12</v>
      </c>
      <c r="B15" s="7" t="s">
        <v>32</v>
      </c>
      <c r="C15" s="6" t="s">
        <v>75</v>
      </c>
      <c r="D15" s="6" t="s">
        <v>221</v>
      </c>
      <c r="E15" s="8" t="s">
        <v>222</v>
      </c>
      <c r="F15" s="25">
        <v>14</v>
      </c>
      <c r="G15" s="8"/>
    </row>
    <row r="16" spans="1:7" s="120" customFormat="1" ht="25.05" customHeight="1">
      <c r="A16" s="6">
        <v>13</v>
      </c>
      <c r="B16" s="7" t="s">
        <v>32</v>
      </c>
      <c r="C16" s="6" t="s">
        <v>75</v>
      </c>
      <c r="D16" s="6" t="s">
        <v>221</v>
      </c>
      <c r="E16" s="8" t="s">
        <v>223</v>
      </c>
      <c r="F16" s="25">
        <v>22</v>
      </c>
      <c r="G16" s="8"/>
    </row>
    <row r="17" spans="1:7" s="120" customFormat="1" ht="25.05" customHeight="1">
      <c r="A17" s="6">
        <v>14</v>
      </c>
      <c r="B17" s="7" t="s">
        <v>32</v>
      </c>
      <c r="C17" s="6" t="s">
        <v>75</v>
      </c>
      <c r="D17" s="6" t="s">
        <v>221</v>
      </c>
      <c r="E17" s="8" t="s">
        <v>224</v>
      </c>
      <c r="F17" s="25">
        <v>9</v>
      </c>
      <c r="G17" s="8"/>
    </row>
    <row r="18" spans="1:7" s="120" customFormat="1" ht="25.05" customHeight="1">
      <c r="A18" s="6">
        <v>15</v>
      </c>
      <c r="B18" s="7" t="s">
        <v>32</v>
      </c>
      <c r="C18" s="6" t="s">
        <v>75</v>
      </c>
      <c r="D18" s="6" t="s">
        <v>221</v>
      </c>
      <c r="E18" s="8" t="s">
        <v>225</v>
      </c>
      <c r="F18" s="25">
        <v>20</v>
      </c>
      <c r="G18" s="8"/>
    </row>
    <row r="19" spans="1:7" s="120" customFormat="1" ht="25.05" customHeight="1">
      <c r="A19" s="6">
        <v>16</v>
      </c>
      <c r="B19" s="7" t="s">
        <v>32</v>
      </c>
      <c r="C19" s="6" t="s">
        <v>75</v>
      </c>
      <c r="D19" s="6" t="s">
        <v>221</v>
      </c>
      <c r="E19" s="8" t="s">
        <v>226</v>
      </c>
      <c r="F19" s="25">
        <v>22</v>
      </c>
      <c r="G19" s="8"/>
    </row>
    <row r="20" spans="1:7" s="120" customFormat="1" ht="25.05" customHeight="1">
      <c r="A20" s="6">
        <v>17</v>
      </c>
      <c r="B20" s="7" t="s">
        <v>32</v>
      </c>
      <c r="C20" s="6" t="s">
        <v>75</v>
      </c>
      <c r="D20" s="6" t="s">
        <v>221</v>
      </c>
      <c r="E20" s="8" t="s">
        <v>391</v>
      </c>
      <c r="F20" s="25">
        <v>20</v>
      </c>
      <c r="G20" s="8"/>
    </row>
    <row r="21" spans="1:7" s="120" customFormat="1" ht="25.05" customHeight="1">
      <c r="A21" s="6">
        <v>18</v>
      </c>
      <c r="B21" s="7" t="s">
        <v>32</v>
      </c>
      <c r="C21" s="6" t="s">
        <v>75</v>
      </c>
      <c r="D21" s="6" t="s">
        <v>221</v>
      </c>
      <c r="E21" s="8" t="s">
        <v>380</v>
      </c>
      <c r="F21" s="25">
        <v>12</v>
      </c>
      <c r="G21" s="8"/>
    </row>
    <row r="22" spans="1:7" s="120" customFormat="1" ht="25.05" customHeight="1">
      <c r="A22" s="6">
        <v>19</v>
      </c>
      <c r="B22" s="7" t="s">
        <v>32</v>
      </c>
      <c r="C22" s="6" t="s">
        <v>75</v>
      </c>
      <c r="D22" s="3" t="s">
        <v>219</v>
      </c>
      <c r="E22" s="9" t="s">
        <v>228</v>
      </c>
      <c r="F22" s="85">
        <f>SUM(F15:F21)</f>
        <v>119</v>
      </c>
      <c r="G22" s="9"/>
    </row>
    <row r="23" spans="1:7" s="120" customFormat="1" ht="25.05" customHeight="1">
      <c r="A23" s="6">
        <v>20</v>
      </c>
      <c r="B23" s="7" t="s">
        <v>32</v>
      </c>
      <c r="C23" s="6" t="s">
        <v>75</v>
      </c>
      <c r="D23" s="6" t="s">
        <v>229</v>
      </c>
      <c r="E23" s="8" t="s">
        <v>230</v>
      </c>
      <c r="F23" s="25">
        <v>14</v>
      </c>
      <c r="G23" s="8"/>
    </row>
    <row r="24" spans="1:7" s="120" customFormat="1" ht="25.05" customHeight="1">
      <c r="A24" s="6">
        <v>21</v>
      </c>
      <c r="B24" s="7" t="s">
        <v>32</v>
      </c>
      <c r="C24" s="6" t="s">
        <v>75</v>
      </c>
      <c r="D24" s="6" t="s">
        <v>229</v>
      </c>
      <c r="E24" s="8" t="s">
        <v>231</v>
      </c>
      <c r="F24" s="25">
        <v>32</v>
      </c>
      <c r="G24" s="8"/>
    </row>
    <row r="25" spans="1:7" s="120" customFormat="1" ht="25.05" customHeight="1">
      <c r="A25" s="6">
        <v>22</v>
      </c>
      <c r="B25" s="7" t="s">
        <v>32</v>
      </c>
      <c r="C25" s="6" t="s">
        <v>75</v>
      </c>
      <c r="D25" s="6" t="s">
        <v>229</v>
      </c>
      <c r="E25" s="8" t="s">
        <v>232</v>
      </c>
      <c r="F25" s="25">
        <v>18</v>
      </c>
      <c r="G25" s="8"/>
    </row>
    <row r="26" spans="1:7" s="120" customFormat="1" ht="25.05" customHeight="1">
      <c r="A26" s="6">
        <v>23</v>
      </c>
      <c r="B26" s="7" t="s">
        <v>32</v>
      </c>
      <c r="C26" s="6" t="s">
        <v>75</v>
      </c>
      <c r="D26" s="6" t="s">
        <v>229</v>
      </c>
      <c r="E26" s="8" t="s">
        <v>233</v>
      </c>
      <c r="F26" s="25">
        <v>25</v>
      </c>
      <c r="G26" s="8"/>
    </row>
    <row r="27" spans="1:7" s="120" customFormat="1" ht="25.05" customHeight="1">
      <c r="A27" s="6">
        <v>24</v>
      </c>
      <c r="B27" s="7" t="s">
        <v>32</v>
      </c>
      <c r="C27" s="6" t="s">
        <v>75</v>
      </c>
      <c r="D27" s="6" t="s">
        <v>229</v>
      </c>
      <c r="E27" s="8" t="s">
        <v>234</v>
      </c>
      <c r="F27" s="25">
        <v>19</v>
      </c>
      <c r="G27" s="8"/>
    </row>
    <row r="28" spans="1:7" s="120" customFormat="1" ht="25.05" customHeight="1">
      <c r="A28" s="6">
        <v>25</v>
      </c>
      <c r="B28" s="7" t="s">
        <v>32</v>
      </c>
      <c r="C28" s="6" t="s">
        <v>75</v>
      </c>
      <c r="D28" s="6" t="s">
        <v>229</v>
      </c>
      <c r="E28" s="8" t="s">
        <v>235</v>
      </c>
      <c r="F28" s="25">
        <v>10</v>
      </c>
      <c r="G28" s="8"/>
    </row>
    <row r="29" spans="1:7" s="120" customFormat="1" ht="25.05" customHeight="1">
      <c r="A29" s="6">
        <v>26</v>
      </c>
      <c r="B29" s="7" t="s">
        <v>32</v>
      </c>
      <c r="C29" s="6" t="s">
        <v>75</v>
      </c>
      <c r="D29" s="6" t="s">
        <v>229</v>
      </c>
      <c r="E29" s="8" t="s">
        <v>237</v>
      </c>
      <c r="F29" s="25">
        <v>8</v>
      </c>
      <c r="G29" s="8"/>
    </row>
    <row r="30" spans="1:7" s="120" customFormat="1" ht="25.05" customHeight="1">
      <c r="A30" s="6">
        <v>27</v>
      </c>
      <c r="B30" s="7" t="s">
        <v>32</v>
      </c>
      <c r="C30" s="6" t="s">
        <v>75</v>
      </c>
      <c r="D30" s="6" t="s">
        <v>229</v>
      </c>
      <c r="E30" s="8" t="s">
        <v>385</v>
      </c>
      <c r="F30" s="25">
        <v>18</v>
      </c>
      <c r="G30" s="8"/>
    </row>
    <row r="31" spans="1:7" s="120" customFormat="1" ht="25.05" customHeight="1">
      <c r="A31" s="6">
        <v>28</v>
      </c>
      <c r="B31" s="7" t="s">
        <v>32</v>
      </c>
      <c r="C31" s="6" t="s">
        <v>75</v>
      </c>
      <c r="D31" s="3" t="s">
        <v>219</v>
      </c>
      <c r="E31" s="9" t="s">
        <v>238</v>
      </c>
      <c r="F31" s="85">
        <f>SUM(F23:F30)</f>
        <v>144</v>
      </c>
      <c r="G31" s="9"/>
    </row>
    <row r="32" spans="1:7" s="120" customFormat="1" ht="25.05" customHeight="1">
      <c r="A32" s="6">
        <v>29</v>
      </c>
      <c r="B32" s="7" t="s">
        <v>32</v>
      </c>
      <c r="C32" s="6" t="s">
        <v>75</v>
      </c>
      <c r="D32" s="6" t="s">
        <v>239</v>
      </c>
      <c r="E32" s="8" t="s">
        <v>240</v>
      </c>
      <c r="F32" s="25">
        <v>70</v>
      </c>
      <c r="G32" s="8"/>
    </row>
    <row r="33" spans="1:7" s="120" customFormat="1" ht="25.05" customHeight="1">
      <c r="A33" s="6">
        <v>30</v>
      </c>
      <c r="B33" s="7" t="s">
        <v>32</v>
      </c>
      <c r="C33" s="6" t="s">
        <v>75</v>
      </c>
      <c r="D33" s="6" t="s">
        <v>239</v>
      </c>
      <c r="E33" s="11" t="s">
        <v>241</v>
      </c>
      <c r="F33" s="25">
        <v>60</v>
      </c>
      <c r="G33" s="8"/>
    </row>
    <row r="34" spans="1:7" s="120" customFormat="1" ht="25.05" customHeight="1">
      <c r="A34" s="6">
        <v>31</v>
      </c>
      <c r="B34" s="7" t="s">
        <v>32</v>
      </c>
      <c r="C34" s="6" t="s">
        <v>75</v>
      </c>
      <c r="D34" s="3" t="s">
        <v>219</v>
      </c>
      <c r="E34" s="9" t="s">
        <v>242</v>
      </c>
      <c r="F34" s="85">
        <f>SUM(F32:F33)</f>
        <v>130</v>
      </c>
      <c r="G34" s="9"/>
    </row>
    <row r="35" spans="1:7" s="120" customFormat="1" ht="25.05" customHeight="1">
      <c r="A35" s="6">
        <v>32</v>
      </c>
      <c r="B35" s="7" t="s">
        <v>32</v>
      </c>
      <c r="C35" s="6" t="s">
        <v>75</v>
      </c>
      <c r="D35" s="82" t="s">
        <v>259</v>
      </c>
      <c r="E35" s="11" t="s">
        <v>376</v>
      </c>
      <c r="F35" s="83">
        <v>20</v>
      </c>
      <c r="G35" s="8"/>
    </row>
    <row r="36" spans="1:7" s="120" customFormat="1" ht="25.05" customHeight="1">
      <c r="A36" s="6">
        <v>33</v>
      </c>
      <c r="B36" s="7" t="s">
        <v>32</v>
      </c>
      <c r="C36" s="6" t="s">
        <v>75</v>
      </c>
      <c r="D36" s="3" t="s">
        <v>219</v>
      </c>
      <c r="E36" s="9" t="s">
        <v>261</v>
      </c>
      <c r="F36" s="79">
        <f>SUM(F35)</f>
        <v>20</v>
      </c>
      <c r="G36" s="9"/>
    </row>
    <row r="37" spans="1:7" s="120" customFormat="1" ht="25.05" customHeight="1">
      <c r="A37" s="6">
        <v>34</v>
      </c>
      <c r="B37" s="7" t="s">
        <v>32</v>
      </c>
      <c r="C37" s="6" t="s">
        <v>75</v>
      </c>
      <c r="D37" s="6" t="s">
        <v>243</v>
      </c>
      <c r="E37" s="8" t="s">
        <v>277</v>
      </c>
      <c r="F37" s="25">
        <v>10.199999999999999</v>
      </c>
      <c r="G37" s="8"/>
    </row>
    <row r="38" spans="1:7" s="120" customFormat="1" ht="25.05" customHeight="1">
      <c r="A38" s="6">
        <v>35</v>
      </c>
      <c r="B38" s="7" t="s">
        <v>32</v>
      </c>
      <c r="C38" s="6" t="s">
        <v>75</v>
      </c>
      <c r="D38" s="6" t="s">
        <v>243</v>
      </c>
      <c r="E38" s="8" t="s">
        <v>278</v>
      </c>
      <c r="F38" s="25">
        <v>10.199999999999999</v>
      </c>
      <c r="G38" s="8"/>
    </row>
    <row r="39" spans="1:7" s="120" customFormat="1" ht="25.05" customHeight="1">
      <c r="A39" s="6">
        <v>36</v>
      </c>
      <c r="B39" s="7" t="s">
        <v>32</v>
      </c>
      <c r="C39" s="6" t="s">
        <v>75</v>
      </c>
      <c r="D39" s="6" t="s">
        <v>243</v>
      </c>
      <c r="E39" s="8" t="s">
        <v>279</v>
      </c>
      <c r="F39" s="25">
        <v>17.16</v>
      </c>
      <c r="G39" s="8"/>
    </row>
    <row r="40" spans="1:7" s="120" customFormat="1" ht="25.05" customHeight="1">
      <c r="A40" s="6">
        <v>37</v>
      </c>
      <c r="B40" s="7" t="s">
        <v>32</v>
      </c>
      <c r="C40" s="6" t="s">
        <v>75</v>
      </c>
      <c r="D40" s="6" t="s">
        <v>243</v>
      </c>
      <c r="E40" s="8" t="s">
        <v>247</v>
      </c>
      <c r="F40" s="25">
        <v>2</v>
      </c>
      <c r="G40" s="8"/>
    </row>
    <row r="41" spans="1:7" s="120" customFormat="1" ht="25.05" customHeight="1">
      <c r="A41" s="6">
        <v>38</v>
      </c>
      <c r="B41" s="7" t="s">
        <v>32</v>
      </c>
      <c r="C41" s="6" t="s">
        <v>75</v>
      </c>
      <c r="D41" s="3" t="s">
        <v>219</v>
      </c>
      <c r="E41" s="9" t="s">
        <v>248</v>
      </c>
      <c r="F41" s="79">
        <f>SUM(F37:F40)</f>
        <v>39.56</v>
      </c>
      <c r="G41" s="9"/>
    </row>
    <row r="42" spans="1:7" s="120" customFormat="1" ht="25.05" customHeight="1">
      <c r="A42" s="6">
        <v>39</v>
      </c>
      <c r="B42" s="7" t="s">
        <v>32</v>
      </c>
      <c r="C42" s="6" t="s">
        <v>75</v>
      </c>
      <c r="D42" s="6" t="s">
        <v>249</v>
      </c>
      <c r="E42" s="8" t="s">
        <v>366</v>
      </c>
      <c r="F42" s="25">
        <v>10</v>
      </c>
      <c r="G42" s="8"/>
    </row>
    <row r="43" spans="1:7" s="120" customFormat="1" ht="25.05" customHeight="1">
      <c r="A43" s="6">
        <v>40</v>
      </c>
      <c r="B43" s="7" t="s">
        <v>32</v>
      </c>
      <c r="C43" s="6" t="s">
        <v>75</v>
      </c>
      <c r="D43" s="6" t="s">
        <v>249</v>
      </c>
      <c r="E43" s="8" t="s">
        <v>367</v>
      </c>
      <c r="F43" s="25">
        <v>10</v>
      </c>
      <c r="G43" s="8"/>
    </row>
    <row r="44" spans="1:7" s="120" customFormat="1" ht="25.05" customHeight="1">
      <c r="A44" s="6">
        <v>41</v>
      </c>
      <c r="B44" s="7" t="s">
        <v>32</v>
      </c>
      <c r="C44" s="6" t="s">
        <v>75</v>
      </c>
      <c r="D44" s="6" t="s">
        <v>249</v>
      </c>
      <c r="E44" s="8" t="s">
        <v>368</v>
      </c>
      <c r="F44" s="25">
        <v>45</v>
      </c>
      <c r="G44" s="8"/>
    </row>
    <row r="45" spans="1:7" s="120" customFormat="1" ht="25.05" customHeight="1">
      <c r="A45" s="6">
        <v>42</v>
      </c>
      <c r="B45" s="7" t="s">
        <v>32</v>
      </c>
      <c r="C45" s="6" t="s">
        <v>75</v>
      </c>
      <c r="D45" s="6" t="s">
        <v>249</v>
      </c>
      <c r="E45" s="8" t="s">
        <v>369</v>
      </c>
      <c r="F45" s="25">
        <v>10</v>
      </c>
      <c r="G45" s="8"/>
    </row>
    <row r="46" spans="1:7" s="120" customFormat="1" ht="25.05" customHeight="1">
      <c r="A46" s="6">
        <v>43</v>
      </c>
      <c r="B46" s="7" t="s">
        <v>32</v>
      </c>
      <c r="C46" s="6" t="s">
        <v>75</v>
      </c>
      <c r="D46" s="6" t="s">
        <v>249</v>
      </c>
      <c r="E46" s="8" t="s">
        <v>285</v>
      </c>
      <c r="F46" s="25">
        <v>5</v>
      </c>
      <c r="G46" s="8"/>
    </row>
    <row r="47" spans="1:7" s="120" customFormat="1" ht="25.05" customHeight="1">
      <c r="A47" s="6">
        <v>44</v>
      </c>
      <c r="B47" s="7" t="s">
        <v>32</v>
      </c>
      <c r="C47" s="6" t="s">
        <v>75</v>
      </c>
      <c r="D47" s="6" t="s">
        <v>249</v>
      </c>
      <c r="E47" s="8" t="s">
        <v>387</v>
      </c>
      <c r="F47" s="25">
        <v>10</v>
      </c>
      <c r="G47" s="8"/>
    </row>
    <row r="48" spans="1:7" s="120" customFormat="1" ht="25.05" customHeight="1">
      <c r="A48" s="6">
        <v>45</v>
      </c>
      <c r="B48" s="7" t="s">
        <v>32</v>
      </c>
      <c r="C48" s="6" t="s">
        <v>75</v>
      </c>
      <c r="D48" s="3" t="s">
        <v>219</v>
      </c>
      <c r="E48" s="9" t="s">
        <v>255</v>
      </c>
      <c r="F48" s="79">
        <f>SUM(F42:F47)</f>
        <v>90</v>
      </c>
      <c r="G48" s="9"/>
    </row>
    <row r="49" spans="1:7" s="120" customFormat="1" ht="25.05" customHeight="1">
      <c r="A49" s="6">
        <v>46</v>
      </c>
      <c r="B49" s="7" t="s">
        <v>32</v>
      </c>
      <c r="C49" s="6" t="s">
        <v>75</v>
      </c>
      <c r="D49" s="11" t="s">
        <v>256</v>
      </c>
      <c r="E49" s="11" t="s">
        <v>286</v>
      </c>
      <c r="F49" s="117">
        <v>10</v>
      </c>
      <c r="G49" s="8"/>
    </row>
    <row r="50" spans="1:7" s="120" customFormat="1" ht="25.05" customHeight="1">
      <c r="A50" s="6">
        <v>47</v>
      </c>
      <c r="B50" s="7" t="s">
        <v>32</v>
      </c>
      <c r="C50" s="6" t="s">
        <v>75</v>
      </c>
      <c r="D50" s="3" t="s">
        <v>219</v>
      </c>
      <c r="E50" s="9" t="s">
        <v>258</v>
      </c>
      <c r="F50" s="79">
        <f>SUM(F49)</f>
        <v>10</v>
      </c>
      <c r="G50" s="9"/>
    </row>
    <row r="51" spans="1:7" s="120" customFormat="1" ht="25.05" customHeight="1">
      <c r="A51" s="6">
        <v>48</v>
      </c>
      <c r="B51" s="7" t="s">
        <v>32</v>
      </c>
      <c r="C51" s="6" t="s">
        <v>75</v>
      </c>
      <c r="D51" s="6" t="s">
        <v>262</v>
      </c>
      <c r="E51" s="8" t="s">
        <v>263</v>
      </c>
      <c r="F51" s="25">
        <v>100</v>
      </c>
      <c r="G51" s="8"/>
    </row>
    <row r="52" spans="1:7" s="120" customFormat="1" ht="25.05" customHeight="1">
      <c r="A52" s="6">
        <v>49</v>
      </c>
      <c r="B52" s="7" t="s">
        <v>32</v>
      </c>
      <c r="C52" s="6" t="s">
        <v>75</v>
      </c>
      <c r="D52" s="6" t="s">
        <v>262</v>
      </c>
      <c r="E52" s="8" t="s">
        <v>535</v>
      </c>
      <c r="F52" s="25">
        <v>50</v>
      </c>
      <c r="G52" s="8"/>
    </row>
    <row r="53" spans="1:7" s="120" customFormat="1" ht="25.05" customHeight="1">
      <c r="A53" s="6">
        <v>50</v>
      </c>
      <c r="B53" s="7" t="s">
        <v>32</v>
      </c>
      <c r="C53" s="6" t="s">
        <v>75</v>
      </c>
      <c r="D53" s="6" t="s">
        <v>262</v>
      </c>
      <c r="E53" s="8" t="s">
        <v>265</v>
      </c>
      <c r="F53" s="25">
        <v>20</v>
      </c>
      <c r="G53" s="8"/>
    </row>
    <row r="54" spans="1:7" s="120" customFormat="1" ht="25.05" customHeight="1">
      <c r="A54" s="6">
        <v>51</v>
      </c>
      <c r="B54" s="7" t="s">
        <v>32</v>
      </c>
      <c r="C54" s="6" t="s">
        <v>75</v>
      </c>
      <c r="D54" s="3" t="s">
        <v>219</v>
      </c>
      <c r="E54" s="9" t="s">
        <v>266</v>
      </c>
      <c r="F54" s="79">
        <f>SUM(F51:F53)</f>
        <v>170</v>
      </c>
      <c r="G54" s="9"/>
    </row>
    <row r="55" spans="1:7" s="120" customFormat="1" ht="25.05" customHeight="1">
      <c r="A55" s="6">
        <v>52</v>
      </c>
      <c r="B55" s="7" t="s">
        <v>32</v>
      </c>
      <c r="C55" s="6" t="s">
        <v>75</v>
      </c>
      <c r="D55" s="3" t="s">
        <v>267</v>
      </c>
      <c r="E55" s="10" t="s">
        <v>536</v>
      </c>
      <c r="F55" s="10">
        <v>973</v>
      </c>
      <c r="G55" s="9"/>
    </row>
    <row r="56" spans="1:7" s="120" customFormat="1" ht="25.05" customHeight="1">
      <c r="A56" s="220" t="s">
        <v>509</v>
      </c>
      <c r="B56" s="221"/>
      <c r="C56" s="221"/>
      <c r="D56" s="221"/>
      <c r="E56" s="221"/>
      <c r="F56" s="221"/>
      <c r="G56" s="222"/>
    </row>
  </sheetData>
  <autoFilter ref="A3:G56" xr:uid="{00000000-0009-0000-0000-000016000000}"/>
  <mergeCells count="3">
    <mergeCell ref="A1:G1"/>
    <mergeCell ref="A2:G2"/>
    <mergeCell ref="A56:G56"/>
  </mergeCells>
  <phoneticPr fontId="23" type="noConversion"/>
  <pageMargins left="0.59055118110236204" right="0.196850393700787" top="0.31496062992126" bottom="0.59055118110236204" header="0.31496062992126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G57"/>
  <sheetViews>
    <sheetView view="pageBreakPreview" topLeftCell="A2" zoomScale="115" zoomScaleNormal="100" workbookViewId="0">
      <selection activeCell="E9" sqref="E9"/>
    </sheetView>
  </sheetViews>
  <sheetFormatPr defaultColWidth="9" defaultRowHeight="15.75"/>
  <cols>
    <col min="1" max="1" width="4.73046875" style="1" customWidth="1"/>
    <col min="2" max="2" width="10.19921875" style="2" customWidth="1"/>
    <col min="3" max="3" width="13.265625" style="1" customWidth="1"/>
    <col min="4" max="4" width="10.9296875" style="1" customWidth="1"/>
    <col min="5" max="5" width="40.46484375" style="1" customWidth="1"/>
    <col min="6" max="6" width="6.33203125" style="1" customWidth="1"/>
    <col min="7" max="7" width="8.46484375" style="78" customWidth="1"/>
  </cols>
  <sheetData>
    <row r="1" spans="1:7" ht="28.5" customHeight="1">
      <c r="A1" s="215" t="s">
        <v>537</v>
      </c>
      <c r="B1" s="215"/>
      <c r="C1" s="215"/>
      <c r="D1" s="215"/>
      <c r="E1" s="215"/>
      <c r="F1" s="235"/>
      <c r="G1" s="235"/>
    </row>
    <row r="2" spans="1:7" ht="28.05" customHeight="1">
      <c r="A2" s="228" t="s">
        <v>538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78</v>
      </c>
      <c r="D4" s="6" t="s">
        <v>209</v>
      </c>
      <c r="E4" s="8" t="s">
        <v>210</v>
      </c>
      <c r="F4" s="8">
        <v>19</v>
      </c>
      <c r="G4" s="6"/>
    </row>
    <row r="5" spans="1:7" ht="25.05" customHeight="1">
      <c r="A5" s="6">
        <v>2</v>
      </c>
      <c r="B5" s="7" t="s">
        <v>32</v>
      </c>
      <c r="C5" s="6" t="s">
        <v>78</v>
      </c>
      <c r="D5" s="6" t="s">
        <v>209</v>
      </c>
      <c r="E5" s="8" t="s">
        <v>211</v>
      </c>
      <c r="F5" s="8">
        <v>15</v>
      </c>
      <c r="G5" s="6"/>
    </row>
    <row r="6" spans="1:7" ht="25.05" customHeight="1">
      <c r="A6" s="6">
        <v>3</v>
      </c>
      <c r="B6" s="7" t="s">
        <v>32</v>
      </c>
      <c r="C6" s="6" t="s">
        <v>78</v>
      </c>
      <c r="D6" s="6" t="s">
        <v>209</v>
      </c>
      <c r="E6" s="8" t="s">
        <v>212</v>
      </c>
      <c r="F6" s="8">
        <v>34</v>
      </c>
      <c r="G6" s="6"/>
    </row>
    <row r="7" spans="1:7" ht="25.05" customHeight="1">
      <c r="A7" s="6">
        <v>4</v>
      </c>
      <c r="B7" s="7" t="s">
        <v>32</v>
      </c>
      <c r="C7" s="6" t="s">
        <v>78</v>
      </c>
      <c r="D7" s="6" t="s">
        <v>209</v>
      </c>
      <c r="E7" s="8" t="s">
        <v>272</v>
      </c>
      <c r="F7" s="8">
        <v>34</v>
      </c>
      <c r="G7" s="6"/>
    </row>
    <row r="8" spans="1:7" ht="25.05" customHeight="1">
      <c r="A8" s="6">
        <v>5</v>
      </c>
      <c r="B8" s="7" t="s">
        <v>32</v>
      </c>
      <c r="C8" s="6" t="s">
        <v>78</v>
      </c>
      <c r="D8" s="6" t="s">
        <v>209</v>
      </c>
      <c r="E8" s="8" t="s">
        <v>214</v>
      </c>
      <c r="F8" s="8">
        <v>26</v>
      </c>
      <c r="G8" s="6"/>
    </row>
    <row r="9" spans="1:7" ht="25.05" customHeight="1">
      <c r="A9" s="6">
        <v>6</v>
      </c>
      <c r="B9" s="7" t="s">
        <v>32</v>
      </c>
      <c r="C9" s="6" t="s">
        <v>78</v>
      </c>
      <c r="D9" s="6" t="s">
        <v>209</v>
      </c>
      <c r="E9" s="8" t="s">
        <v>312</v>
      </c>
      <c r="F9" s="8">
        <v>10</v>
      </c>
      <c r="G9" s="6"/>
    </row>
    <row r="10" spans="1:7" ht="25.05" customHeight="1">
      <c r="A10" s="6">
        <v>7</v>
      </c>
      <c r="B10" s="7" t="s">
        <v>32</v>
      </c>
      <c r="C10" s="6" t="s">
        <v>78</v>
      </c>
      <c r="D10" s="6" t="s">
        <v>209</v>
      </c>
      <c r="E10" s="8" t="s">
        <v>216</v>
      </c>
      <c r="F10" s="8">
        <v>35</v>
      </c>
      <c r="G10" s="6"/>
    </row>
    <row r="11" spans="1:7" ht="25.05" customHeight="1">
      <c r="A11" s="6">
        <v>8</v>
      </c>
      <c r="B11" s="7" t="s">
        <v>32</v>
      </c>
      <c r="C11" s="6" t="s">
        <v>78</v>
      </c>
      <c r="D11" s="6" t="s">
        <v>209</v>
      </c>
      <c r="E11" s="8" t="s">
        <v>292</v>
      </c>
      <c r="F11" s="8">
        <v>12</v>
      </c>
      <c r="G11" s="6"/>
    </row>
    <row r="12" spans="1:7" ht="25.05" customHeight="1">
      <c r="A12" s="6">
        <v>9</v>
      </c>
      <c r="B12" s="7" t="s">
        <v>32</v>
      </c>
      <c r="C12" s="6" t="s">
        <v>78</v>
      </c>
      <c r="D12" s="6" t="s">
        <v>209</v>
      </c>
      <c r="E12" s="8" t="s">
        <v>217</v>
      </c>
      <c r="F12" s="8">
        <v>55</v>
      </c>
      <c r="G12" s="6"/>
    </row>
    <row r="13" spans="1:7" ht="25.05" customHeight="1">
      <c r="A13" s="6">
        <v>10</v>
      </c>
      <c r="B13" s="7" t="s">
        <v>32</v>
      </c>
      <c r="C13" s="6" t="s">
        <v>78</v>
      </c>
      <c r="D13" s="6" t="s">
        <v>209</v>
      </c>
      <c r="E13" s="8" t="s">
        <v>218</v>
      </c>
      <c r="F13" s="8">
        <v>10</v>
      </c>
      <c r="G13" s="6"/>
    </row>
    <row r="14" spans="1:7" ht="25.05" customHeight="1">
      <c r="A14" s="6">
        <v>11</v>
      </c>
      <c r="B14" s="7" t="s">
        <v>32</v>
      </c>
      <c r="C14" s="6" t="s">
        <v>78</v>
      </c>
      <c r="D14" s="3" t="s">
        <v>219</v>
      </c>
      <c r="E14" s="9" t="s">
        <v>539</v>
      </c>
      <c r="F14" s="9">
        <f>SUM(F4:F13)</f>
        <v>250</v>
      </c>
      <c r="G14" s="79"/>
    </row>
    <row r="15" spans="1:7" ht="25.05" customHeight="1">
      <c r="A15" s="6">
        <v>12</v>
      </c>
      <c r="B15" s="7" t="s">
        <v>32</v>
      </c>
      <c r="C15" s="6" t="s">
        <v>78</v>
      </c>
      <c r="D15" s="6" t="s">
        <v>221</v>
      </c>
      <c r="E15" s="8" t="s">
        <v>222</v>
      </c>
      <c r="F15" s="8">
        <v>14</v>
      </c>
      <c r="G15" s="25"/>
    </row>
    <row r="16" spans="1:7" ht="25.05" customHeight="1">
      <c r="A16" s="6">
        <v>13</v>
      </c>
      <c r="B16" s="7" t="s">
        <v>32</v>
      </c>
      <c r="C16" s="6" t="s">
        <v>78</v>
      </c>
      <c r="D16" s="6" t="s">
        <v>221</v>
      </c>
      <c r="E16" s="8" t="s">
        <v>223</v>
      </c>
      <c r="F16" s="8">
        <v>22</v>
      </c>
      <c r="G16" s="25"/>
    </row>
    <row r="17" spans="1:7" ht="25.05" customHeight="1">
      <c r="A17" s="6">
        <v>14</v>
      </c>
      <c r="B17" s="7" t="s">
        <v>32</v>
      </c>
      <c r="C17" s="6" t="s">
        <v>78</v>
      </c>
      <c r="D17" s="6" t="s">
        <v>221</v>
      </c>
      <c r="E17" s="8" t="s">
        <v>224</v>
      </c>
      <c r="F17" s="8">
        <v>9</v>
      </c>
      <c r="G17" s="25"/>
    </row>
    <row r="18" spans="1:7" ht="25.05" customHeight="1">
      <c r="A18" s="6">
        <v>15</v>
      </c>
      <c r="B18" s="7" t="s">
        <v>32</v>
      </c>
      <c r="C18" s="6" t="s">
        <v>78</v>
      </c>
      <c r="D18" s="6" t="s">
        <v>221</v>
      </c>
      <c r="E18" s="8" t="s">
        <v>225</v>
      </c>
      <c r="F18" s="8">
        <v>20</v>
      </c>
      <c r="G18" s="25"/>
    </row>
    <row r="19" spans="1:7" ht="25.05" customHeight="1">
      <c r="A19" s="6">
        <v>16</v>
      </c>
      <c r="B19" s="7" t="s">
        <v>32</v>
      </c>
      <c r="C19" s="6" t="s">
        <v>78</v>
      </c>
      <c r="D19" s="6" t="s">
        <v>221</v>
      </c>
      <c r="E19" s="8" t="s">
        <v>226</v>
      </c>
      <c r="F19" s="8">
        <v>22</v>
      </c>
      <c r="G19" s="25"/>
    </row>
    <row r="20" spans="1:7" ht="25.05" customHeight="1">
      <c r="A20" s="6">
        <v>17</v>
      </c>
      <c r="B20" s="7" t="s">
        <v>32</v>
      </c>
      <c r="C20" s="6" t="s">
        <v>78</v>
      </c>
      <c r="D20" s="6" t="s">
        <v>221</v>
      </c>
      <c r="E20" s="8" t="s">
        <v>391</v>
      </c>
      <c r="F20" s="8">
        <v>20</v>
      </c>
      <c r="G20" s="25"/>
    </row>
    <row r="21" spans="1:7" ht="25.05" customHeight="1">
      <c r="A21" s="6">
        <v>18</v>
      </c>
      <c r="B21" s="7" t="s">
        <v>32</v>
      </c>
      <c r="C21" s="6" t="s">
        <v>78</v>
      </c>
      <c r="D21" s="6" t="s">
        <v>221</v>
      </c>
      <c r="E21" s="8" t="s">
        <v>380</v>
      </c>
      <c r="F21" s="8">
        <v>12</v>
      </c>
      <c r="G21" s="25"/>
    </row>
    <row r="22" spans="1:7" ht="25.05" customHeight="1">
      <c r="A22" s="6">
        <v>19</v>
      </c>
      <c r="B22" s="7" t="s">
        <v>32</v>
      </c>
      <c r="C22" s="6" t="s">
        <v>78</v>
      </c>
      <c r="D22" s="3" t="s">
        <v>219</v>
      </c>
      <c r="E22" s="75" t="s">
        <v>540</v>
      </c>
      <c r="F22" s="10">
        <f>SUM(F15:F21)</f>
        <v>119</v>
      </c>
      <c r="G22" s="85"/>
    </row>
    <row r="23" spans="1:7" ht="25.05" customHeight="1">
      <c r="A23" s="6">
        <v>20</v>
      </c>
      <c r="B23" s="7" t="s">
        <v>32</v>
      </c>
      <c r="C23" s="6" t="s">
        <v>78</v>
      </c>
      <c r="D23" s="6" t="s">
        <v>229</v>
      </c>
      <c r="E23" s="8" t="s">
        <v>230</v>
      </c>
      <c r="F23" s="8">
        <v>14</v>
      </c>
      <c r="G23" s="25"/>
    </row>
    <row r="24" spans="1:7" ht="25.05" customHeight="1">
      <c r="A24" s="6">
        <v>21</v>
      </c>
      <c r="B24" s="7" t="s">
        <v>32</v>
      </c>
      <c r="C24" s="6" t="s">
        <v>78</v>
      </c>
      <c r="D24" s="6" t="s">
        <v>229</v>
      </c>
      <c r="E24" s="8" t="s">
        <v>231</v>
      </c>
      <c r="F24" s="8">
        <v>32</v>
      </c>
      <c r="G24" s="25"/>
    </row>
    <row r="25" spans="1:7" ht="25.05" customHeight="1">
      <c r="A25" s="6">
        <v>22</v>
      </c>
      <c r="B25" s="7" t="s">
        <v>32</v>
      </c>
      <c r="C25" s="6" t="s">
        <v>78</v>
      </c>
      <c r="D25" s="6" t="s">
        <v>229</v>
      </c>
      <c r="E25" s="8" t="s">
        <v>232</v>
      </c>
      <c r="F25" s="8">
        <v>18</v>
      </c>
      <c r="G25" s="25"/>
    </row>
    <row r="26" spans="1:7" ht="25.05" customHeight="1">
      <c r="A26" s="6">
        <v>23</v>
      </c>
      <c r="B26" s="7" t="s">
        <v>32</v>
      </c>
      <c r="C26" s="6" t="s">
        <v>78</v>
      </c>
      <c r="D26" s="6" t="s">
        <v>229</v>
      </c>
      <c r="E26" s="8" t="s">
        <v>233</v>
      </c>
      <c r="F26" s="8">
        <v>25</v>
      </c>
      <c r="G26" s="25"/>
    </row>
    <row r="27" spans="1:7" ht="25.05" customHeight="1">
      <c r="A27" s="6">
        <v>24</v>
      </c>
      <c r="B27" s="7" t="s">
        <v>32</v>
      </c>
      <c r="C27" s="6" t="s">
        <v>78</v>
      </c>
      <c r="D27" s="6" t="s">
        <v>229</v>
      </c>
      <c r="E27" s="8" t="s">
        <v>234</v>
      </c>
      <c r="F27" s="8">
        <v>19</v>
      </c>
      <c r="G27" s="25"/>
    </row>
    <row r="28" spans="1:7" ht="25.05" customHeight="1">
      <c r="A28" s="6">
        <v>25</v>
      </c>
      <c r="B28" s="7" t="s">
        <v>32</v>
      </c>
      <c r="C28" s="6" t="s">
        <v>78</v>
      </c>
      <c r="D28" s="6" t="s">
        <v>229</v>
      </c>
      <c r="E28" s="8" t="s">
        <v>235</v>
      </c>
      <c r="F28" s="8">
        <v>10</v>
      </c>
      <c r="G28" s="25"/>
    </row>
    <row r="29" spans="1:7" ht="25.05" customHeight="1">
      <c r="A29" s="6">
        <v>26</v>
      </c>
      <c r="B29" s="7" t="s">
        <v>32</v>
      </c>
      <c r="C29" s="6" t="s">
        <v>78</v>
      </c>
      <c r="D29" s="6" t="s">
        <v>229</v>
      </c>
      <c r="E29" s="8" t="s">
        <v>237</v>
      </c>
      <c r="F29" s="8">
        <v>8</v>
      </c>
      <c r="G29" s="25"/>
    </row>
    <row r="30" spans="1:7" ht="25.05" customHeight="1">
      <c r="A30" s="6">
        <v>27</v>
      </c>
      <c r="B30" s="7" t="s">
        <v>32</v>
      </c>
      <c r="C30" s="6" t="s">
        <v>78</v>
      </c>
      <c r="D30" s="6" t="s">
        <v>229</v>
      </c>
      <c r="E30" s="8" t="s">
        <v>385</v>
      </c>
      <c r="F30" s="8">
        <v>18</v>
      </c>
      <c r="G30" s="25"/>
    </row>
    <row r="31" spans="1:7" ht="25.05" customHeight="1">
      <c r="A31" s="6">
        <v>28</v>
      </c>
      <c r="B31" s="7" t="s">
        <v>32</v>
      </c>
      <c r="C31" s="6" t="s">
        <v>78</v>
      </c>
      <c r="D31" s="3" t="s">
        <v>219</v>
      </c>
      <c r="E31" s="9" t="s">
        <v>541</v>
      </c>
      <c r="F31" s="10">
        <f>SUM(F23:F30)</f>
        <v>144</v>
      </c>
      <c r="G31" s="79"/>
    </row>
    <row r="32" spans="1:7" ht="25.05" customHeight="1">
      <c r="A32" s="6">
        <v>29</v>
      </c>
      <c r="B32" s="7" t="s">
        <v>32</v>
      </c>
      <c r="C32" s="6" t="s">
        <v>78</v>
      </c>
      <c r="D32" s="6" t="s">
        <v>239</v>
      </c>
      <c r="E32" s="8" t="s">
        <v>240</v>
      </c>
      <c r="F32" s="8">
        <v>70</v>
      </c>
      <c r="G32" s="25"/>
    </row>
    <row r="33" spans="1:7" ht="31.05" customHeight="1">
      <c r="A33" s="6">
        <v>30</v>
      </c>
      <c r="B33" s="7" t="s">
        <v>32</v>
      </c>
      <c r="C33" s="6" t="s">
        <v>78</v>
      </c>
      <c r="D33" s="6" t="s">
        <v>239</v>
      </c>
      <c r="E33" s="11" t="s">
        <v>241</v>
      </c>
      <c r="F33" s="8">
        <v>60</v>
      </c>
      <c r="G33" s="25"/>
    </row>
    <row r="34" spans="1:7" ht="25.05" customHeight="1">
      <c r="A34" s="6">
        <v>31</v>
      </c>
      <c r="B34" s="7" t="s">
        <v>32</v>
      </c>
      <c r="C34" s="6" t="s">
        <v>78</v>
      </c>
      <c r="D34" s="3" t="s">
        <v>219</v>
      </c>
      <c r="E34" s="9" t="s">
        <v>542</v>
      </c>
      <c r="F34" s="10">
        <f>SUM(F32:F33)</f>
        <v>130</v>
      </c>
      <c r="G34" s="79"/>
    </row>
    <row r="35" spans="1:7" ht="25.05" customHeight="1">
      <c r="A35" s="6">
        <v>32</v>
      </c>
      <c r="B35" s="7" t="s">
        <v>32</v>
      </c>
      <c r="C35" s="6" t="s">
        <v>78</v>
      </c>
      <c r="D35" s="6" t="s">
        <v>243</v>
      </c>
      <c r="E35" s="8" t="s">
        <v>277</v>
      </c>
      <c r="F35" s="8">
        <v>10.199999999999999</v>
      </c>
      <c r="G35" s="77"/>
    </row>
    <row r="36" spans="1:7" ht="25.05" customHeight="1">
      <c r="A36" s="6">
        <v>33</v>
      </c>
      <c r="B36" s="7" t="s">
        <v>32</v>
      </c>
      <c r="C36" s="6" t="s">
        <v>78</v>
      </c>
      <c r="D36" s="6" t="s">
        <v>243</v>
      </c>
      <c r="E36" s="8" t="s">
        <v>278</v>
      </c>
      <c r="F36" s="8">
        <v>10.199999999999999</v>
      </c>
      <c r="G36" s="77"/>
    </row>
    <row r="37" spans="1:7" ht="25.05" customHeight="1">
      <c r="A37" s="6">
        <v>34</v>
      </c>
      <c r="B37" s="7" t="s">
        <v>32</v>
      </c>
      <c r="C37" s="6" t="s">
        <v>78</v>
      </c>
      <c r="D37" s="6" t="s">
        <v>243</v>
      </c>
      <c r="E37" s="8" t="s">
        <v>279</v>
      </c>
      <c r="F37" s="8">
        <v>17.16</v>
      </c>
      <c r="G37" s="77"/>
    </row>
    <row r="38" spans="1:7" ht="25.05" customHeight="1">
      <c r="A38" s="6">
        <v>35</v>
      </c>
      <c r="B38" s="7" t="s">
        <v>32</v>
      </c>
      <c r="C38" s="6" t="s">
        <v>78</v>
      </c>
      <c r="D38" s="6" t="s">
        <v>243</v>
      </c>
      <c r="E38" s="8" t="s">
        <v>247</v>
      </c>
      <c r="F38" s="8">
        <v>2</v>
      </c>
      <c r="G38" s="77"/>
    </row>
    <row r="39" spans="1:7" ht="25.05" customHeight="1">
      <c r="A39" s="6">
        <v>36</v>
      </c>
      <c r="B39" s="7" t="s">
        <v>32</v>
      </c>
      <c r="C39" s="6" t="s">
        <v>78</v>
      </c>
      <c r="D39" s="3" t="s">
        <v>219</v>
      </c>
      <c r="E39" s="9" t="s">
        <v>248</v>
      </c>
      <c r="F39" s="10">
        <f>SUM(F35:F38)</f>
        <v>39.56</v>
      </c>
      <c r="G39" s="79"/>
    </row>
    <row r="40" spans="1:7" ht="25.05" customHeight="1">
      <c r="A40" s="6">
        <v>37</v>
      </c>
      <c r="B40" s="7" t="s">
        <v>32</v>
      </c>
      <c r="C40" s="6" t="s">
        <v>78</v>
      </c>
      <c r="D40" s="6" t="s">
        <v>249</v>
      </c>
      <c r="E40" s="8" t="s">
        <v>366</v>
      </c>
      <c r="F40" s="8">
        <v>10</v>
      </c>
      <c r="G40" s="77"/>
    </row>
    <row r="41" spans="1:7" ht="25.05" customHeight="1">
      <c r="A41" s="6">
        <v>38</v>
      </c>
      <c r="B41" s="7" t="s">
        <v>32</v>
      </c>
      <c r="C41" s="6" t="s">
        <v>78</v>
      </c>
      <c r="D41" s="6" t="s">
        <v>249</v>
      </c>
      <c r="E41" s="8" t="s">
        <v>543</v>
      </c>
      <c r="F41" s="8">
        <v>30</v>
      </c>
      <c r="G41" s="77"/>
    </row>
    <row r="42" spans="1:7" ht="25.05" customHeight="1">
      <c r="A42" s="6">
        <v>39</v>
      </c>
      <c r="B42" s="7" t="s">
        <v>32</v>
      </c>
      <c r="C42" s="6" t="s">
        <v>78</v>
      </c>
      <c r="D42" s="6" t="s">
        <v>249</v>
      </c>
      <c r="E42" s="8" t="s">
        <v>368</v>
      </c>
      <c r="F42" s="8">
        <v>45</v>
      </c>
      <c r="G42" s="77"/>
    </row>
    <row r="43" spans="1:7" ht="25.05" customHeight="1">
      <c r="A43" s="6">
        <v>40</v>
      </c>
      <c r="B43" s="7" t="s">
        <v>32</v>
      </c>
      <c r="C43" s="6" t="s">
        <v>78</v>
      </c>
      <c r="D43" s="6" t="s">
        <v>249</v>
      </c>
      <c r="E43" s="8" t="s">
        <v>369</v>
      </c>
      <c r="F43" s="8">
        <v>10</v>
      </c>
      <c r="G43" s="77"/>
    </row>
    <row r="44" spans="1:7" ht="25.05" customHeight="1">
      <c r="A44" s="6">
        <v>41</v>
      </c>
      <c r="B44" s="7" t="s">
        <v>32</v>
      </c>
      <c r="C44" s="6" t="s">
        <v>78</v>
      </c>
      <c r="D44" s="6" t="s">
        <v>249</v>
      </c>
      <c r="E44" s="8" t="s">
        <v>285</v>
      </c>
      <c r="F44" s="8">
        <v>5</v>
      </c>
      <c r="G44" s="77"/>
    </row>
    <row r="45" spans="1:7" ht="25.05" customHeight="1">
      <c r="A45" s="6">
        <v>42</v>
      </c>
      <c r="B45" s="7" t="s">
        <v>32</v>
      </c>
      <c r="C45" s="6" t="s">
        <v>78</v>
      </c>
      <c r="D45" s="3" t="s">
        <v>219</v>
      </c>
      <c r="E45" s="9" t="s">
        <v>255</v>
      </c>
      <c r="F45" s="10">
        <f>SUM(F40:F44)</f>
        <v>100</v>
      </c>
      <c r="G45" s="79"/>
    </row>
    <row r="46" spans="1:7" ht="25.05" customHeight="1">
      <c r="A46" s="6">
        <v>43</v>
      </c>
      <c r="B46" s="7" t="s">
        <v>32</v>
      </c>
      <c r="C46" s="6" t="s">
        <v>78</v>
      </c>
      <c r="D46" s="6" t="s">
        <v>256</v>
      </c>
      <c r="E46" s="11" t="s">
        <v>286</v>
      </c>
      <c r="F46" s="11">
        <v>10</v>
      </c>
      <c r="G46" s="104"/>
    </row>
    <row r="47" spans="1:7" ht="25.05" customHeight="1">
      <c r="A47" s="6">
        <v>44</v>
      </c>
      <c r="B47" s="7" t="s">
        <v>32</v>
      </c>
      <c r="C47" s="6" t="s">
        <v>78</v>
      </c>
      <c r="D47" s="3" t="s">
        <v>219</v>
      </c>
      <c r="E47" s="9" t="s">
        <v>258</v>
      </c>
      <c r="F47" s="10">
        <f>SUM(F46)</f>
        <v>10</v>
      </c>
      <c r="G47" s="79"/>
    </row>
    <row r="48" spans="1:7" ht="29" customHeight="1">
      <c r="A48" s="6">
        <v>45</v>
      </c>
      <c r="B48" s="7" t="s">
        <v>32</v>
      </c>
      <c r="C48" s="6" t="s">
        <v>78</v>
      </c>
      <c r="D48" s="6" t="s">
        <v>259</v>
      </c>
      <c r="E48" s="11" t="s">
        <v>544</v>
      </c>
      <c r="F48" s="8">
        <v>20</v>
      </c>
      <c r="G48" s="77"/>
    </row>
    <row r="49" spans="1:7" ht="25.05" customHeight="1">
      <c r="A49" s="6">
        <v>46</v>
      </c>
      <c r="B49" s="7" t="s">
        <v>32</v>
      </c>
      <c r="C49" s="6" t="s">
        <v>78</v>
      </c>
      <c r="D49" s="3" t="s">
        <v>219</v>
      </c>
      <c r="E49" s="10" t="s">
        <v>261</v>
      </c>
      <c r="F49" s="10">
        <f>SUM(F48)</f>
        <v>20</v>
      </c>
      <c r="G49" s="79"/>
    </row>
    <row r="50" spans="1:7" ht="25.05" customHeight="1">
      <c r="A50" s="6">
        <v>47</v>
      </c>
      <c r="B50" s="7" t="s">
        <v>32</v>
      </c>
      <c r="C50" s="6" t="s">
        <v>78</v>
      </c>
      <c r="D50" s="6" t="s">
        <v>262</v>
      </c>
      <c r="E50" s="8" t="s">
        <v>263</v>
      </c>
      <c r="F50" s="8">
        <v>100</v>
      </c>
      <c r="G50" s="77"/>
    </row>
    <row r="51" spans="1:7" ht="25.05" customHeight="1">
      <c r="A51" s="6">
        <v>48</v>
      </c>
      <c r="B51" s="7" t="s">
        <v>32</v>
      </c>
      <c r="C51" s="6" t="s">
        <v>78</v>
      </c>
      <c r="D51" s="6" t="s">
        <v>262</v>
      </c>
      <c r="E51" s="8" t="s">
        <v>545</v>
      </c>
      <c r="F51" s="8">
        <v>50</v>
      </c>
      <c r="G51" s="77"/>
    </row>
    <row r="52" spans="1:7" ht="25.05" customHeight="1">
      <c r="A52" s="6">
        <v>49</v>
      </c>
      <c r="B52" s="7" t="s">
        <v>32</v>
      </c>
      <c r="C52" s="6" t="s">
        <v>78</v>
      </c>
      <c r="D52" s="6" t="s">
        <v>262</v>
      </c>
      <c r="E52" s="8" t="s">
        <v>265</v>
      </c>
      <c r="F52" s="8">
        <v>20</v>
      </c>
      <c r="G52" s="77"/>
    </row>
    <row r="53" spans="1:7" ht="25.05" customHeight="1">
      <c r="A53" s="6">
        <v>50</v>
      </c>
      <c r="B53" s="7" t="s">
        <v>32</v>
      </c>
      <c r="C53" s="6" t="s">
        <v>78</v>
      </c>
      <c r="D53" s="3" t="s">
        <v>219</v>
      </c>
      <c r="E53" s="9" t="s">
        <v>546</v>
      </c>
      <c r="F53" s="10">
        <f>SUM(F50:F52)</f>
        <v>170</v>
      </c>
      <c r="G53" s="79"/>
    </row>
    <row r="54" spans="1:7" ht="25.05" customHeight="1">
      <c r="A54" s="6">
        <v>51</v>
      </c>
      <c r="B54" s="7" t="s">
        <v>32</v>
      </c>
      <c r="C54" s="6" t="s">
        <v>78</v>
      </c>
      <c r="D54" s="3" t="s">
        <v>267</v>
      </c>
      <c r="E54" s="9" t="s">
        <v>547</v>
      </c>
      <c r="F54" s="9">
        <v>983</v>
      </c>
      <c r="G54" s="119"/>
    </row>
    <row r="55" spans="1:7" ht="25.05" customHeight="1">
      <c r="A55" s="219" t="s">
        <v>548</v>
      </c>
      <c r="B55" s="219"/>
      <c r="C55" s="219"/>
      <c r="D55" s="219"/>
      <c r="E55" s="219"/>
      <c r="F55" s="219"/>
      <c r="G55" s="219"/>
    </row>
    <row r="56" spans="1:7" ht="13.5" customHeight="1"/>
    <row r="57" spans="1:7" ht="13.5" customHeight="1"/>
  </sheetData>
  <autoFilter ref="A3:G55" xr:uid="{00000000-0009-0000-0000-000017000000}"/>
  <mergeCells count="3">
    <mergeCell ref="A1:G1"/>
    <mergeCell ref="A2:G2"/>
    <mergeCell ref="A55:G55"/>
  </mergeCells>
  <phoneticPr fontId="23" type="noConversion"/>
  <pageMargins left="0.59055118110236204" right="0.23622047244094499" top="0.31496062992126" bottom="0.511811023622047" header="0.31496062992126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G58"/>
  <sheetViews>
    <sheetView view="pageBreakPreview" zoomScale="115" zoomScaleNormal="100" workbookViewId="0">
      <selection activeCell="F12" sqref="F12"/>
    </sheetView>
  </sheetViews>
  <sheetFormatPr defaultColWidth="9" defaultRowHeight="19.05" customHeight="1"/>
  <cols>
    <col min="1" max="1" width="4.06640625" style="1" customWidth="1"/>
    <col min="2" max="2" width="8.265625" style="74" customWidth="1"/>
    <col min="3" max="3" width="14.53125" style="73" customWidth="1"/>
    <col min="4" max="4" width="11.59765625" style="73" customWidth="1"/>
    <col min="5" max="5" width="41.06640625" style="1" customWidth="1"/>
    <col min="6" max="6" width="7.53125" style="78" customWidth="1"/>
    <col min="7" max="7" width="8.33203125" style="73" customWidth="1"/>
  </cols>
  <sheetData>
    <row r="1" spans="1:7" ht="25.05" customHeight="1">
      <c r="A1" s="215" t="s">
        <v>549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550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81</v>
      </c>
      <c r="D4" s="6" t="s">
        <v>209</v>
      </c>
      <c r="E4" s="8" t="s">
        <v>210</v>
      </c>
      <c r="F4" s="25">
        <v>19</v>
      </c>
      <c r="G4" s="6"/>
    </row>
    <row r="5" spans="1:7" ht="25.05" customHeight="1">
      <c r="A5" s="6">
        <v>2</v>
      </c>
      <c r="B5" s="7" t="s">
        <v>23</v>
      </c>
      <c r="C5" s="6" t="s">
        <v>81</v>
      </c>
      <c r="D5" s="6" t="s">
        <v>209</v>
      </c>
      <c r="E5" s="8" t="s">
        <v>211</v>
      </c>
      <c r="F5" s="25">
        <v>15</v>
      </c>
      <c r="G5" s="6"/>
    </row>
    <row r="6" spans="1:7" ht="25.05" customHeight="1">
      <c r="A6" s="6">
        <v>3</v>
      </c>
      <c r="B6" s="7" t="s">
        <v>23</v>
      </c>
      <c r="C6" s="6" t="s">
        <v>81</v>
      </c>
      <c r="D6" s="6" t="s">
        <v>209</v>
      </c>
      <c r="E6" s="8" t="s">
        <v>212</v>
      </c>
      <c r="F6" s="25">
        <v>34</v>
      </c>
      <c r="G6" s="6"/>
    </row>
    <row r="7" spans="1:7" ht="25.05" customHeight="1">
      <c r="A7" s="6">
        <v>4</v>
      </c>
      <c r="B7" s="7" t="s">
        <v>23</v>
      </c>
      <c r="C7" s="6" t="s">
        <v>81</v>
      </c>
      <c r="D7" s="6" t="s">
        <v>209</v>
      </c>
      <c r="E7" s="8" t="s">
        <v>272</v>
      </c>
      <c r="F7" s="25">
        <v>34</v>
      </c>
      <c r="G7" s="6"/>
    </row>
    <row r="8" spans="1:7" ht="25.05" customHeight="1">
      <c r="A8" s="6">
        <v>5</v>
      </c>
      <c r="B8" s="7" t="s">
        <v>23</v>
      </c>
      <c r="C8" s="6" t="s">
        <v>81</v>
      </c>
      <c r="D8" s="6" t="s">
        <v>209</v>
      </c>
      <c r="E8" s="8" t="s">
        <v>214</v>
      </c>
      <c r="F8" s="25">
        <v>26</v>
      </c>
      <c r="G8" s="6"/>
    </row>
    <row r="9" spans="1:7" ht="25.05" customHeight="1">
      <c r="A9" s="6">
        <v>6</v>
      </c>
      <c r="B9" s="7" t="s">
        <v>23</v>
      </c>
      <c r="C9" s="6" t="s">
        <v>81</v>
      </c>
      <c r="D9" s="6" t="s">
        <v>209</v>
      </c>
      <c r="E9" s="8" t="s">
        <v>312</v>
      </c>
      <c r="F9" s="25">
        <v>10</v>
      </c>
      <c r="G9" s="6"/>
    </row>
    <row r="10" spans="1:7" ht="25.05" customHeight="1">
      <c r="A10" s="6">
        <v>7</v>
      </c>
      <c r="B10" s="7" t="s">
        <v>23</v>
      </c>
      <c r="C10" s="6" t="s">
        <v>81</v>
      </c>
      <c r="D10" s="6" t="s">
        <v>209</v>
      </c>
      <c r="E10" s="8" t="s">
        <v>216</v>
      </c>
      <c r="F10" s="25">
        <v>35</v>
      </c>
      <c r="G10" s="6"/>
    </row>
    <row r="11" spans="1:7" ht="25.05" customHeight="1">
      <c r="A11" s="6">
        <v>8</v>
      </c>
      <c r="B11" s="7" t="s">
        <v>23</v>
      </c>
      <c r="C11" s="6" t="s">
        <v>81</v>
      </c>
      <c r="D11" s="6" t="s">
        <v>209</v>
      </c>
      <c r="E11" s="8" t="s">
        <v>292</v>
      </c>
      <c r="F11" s="25">
        <v>12</v>
      </c>
      <c r="G11" s="6"/>
    </row>
    <row r="12" spans="1:7" ht="25.05" customHeight="1">
      <c r="A12" s="6">
        <v>9</v>
      </c>
      <c r="B12" s="7" t="s">
        <v>23</v>
      </c>
      <c r="C12" s="6" t="s">
        <v>81</v>
      </c>
      <c r="D12" s="6" t="s">
        <v>209</v>
      </c>
      <c r="E12" s="8" t="s">
        <v>313</v>
      </c>
      <c r="F12" s="25">
        <v>55</v>
      </c>
      <c r="G12" s="6"/>
    </row>
    <row r="13" spans="1:7" ht="25.05" customHeight="1">
      <c r="A13" s="6">
        <v>10</v>
      </c>
      <c r="B13" s="7" t="s">
        <v>23</v>
      </c>
      <c r="C13" s="6" t="s">
        <v>81</v>
      </c>
      <c r="D13" s="6" t="s">
        <v>209</v>
      </c>
      <c r="E13" s="8" t="s">
        <v>218</v>
      </c>
      <c r="F13" s="25">
        <v>10</v>
      </c>
      <c r="G13" s="6"/>
    </row>
    <row r="14" spans="1:7" ht="25.05" customHeight="1">
      <c r="A14" s="6">
        <v>11</v>
      </c>
      <c r="B14" s="7" t="s">
        <v>23</v>
      </c>
      <c r="C14" s="6" t="s">
        <v>81</v>
      </c>
      <c r="D14" s="3" t="s">
        <v>219</v>
      </c>
      <c r="E14" s="9" t="s">
        <v>539</v>
      </c>
      <c r="F14" s="79">
        <f>SUM(F4:F13)</f>
        <v>250</v>
      </c>
      <c r="G14" s="3"/>
    </row>
    <row r="15" spans="1:7" ht="25.05" customHeight="1">
      <c r="A15" s="6">
        <v>12</v>
      </c>
      <c r="B15" s="7" t="s">
        <v>23</v>
      </c>
      <c r="C15" s="6" t="s">
        <v>81</v>
      </c>
      <c r="D15" s="6" t="s">
        <v>221</v>
      </c>
      <c r="E15" s="8" t="s">
        <v>222</v>
      </c>
      <c r="F15" s="25">
        <v>14</v>
      </c>
      <c r="G15" s="6"/>
    </row>
    <row r="16" spans="1:7" ht="25.05" customHeight="1">
      <c r="A16" s="6">
        <v>13</v>
      </c>
      <c r="B16" s="7" t="s">
        <v>23</v>
      </c>
      <c r="C16" s="6" t="s">
        <v>81</v>
      </c>
      <c r="D16" s="6" t="s">
        <v>221</v>
      </c>
      <c r="E16" s="8" t="s">
        <v>410</v>
      </c>
      <c r="F16" s="25">
        <v>42</v>
      </c>
      <c r="G16" s="6"/>
    </row>
    <row r="17" spans="1:7" ht="25.05" customHeight="1">
      <c r="A17" s="6">
        <v>14</v>
      </c>
      <c r="B17" s="7" t="s">
        <v>23</v>
      </c>
      <c r="C17" s="6" t="s">
        <v>81</v>
      </c>
      <c r="D17" s="6" t="s">
        <v>221</v>
      </c>
      <c r="E17" s="8" t="s">
        <v>224</v>
      </c>
      <c r="F17" s="25">
        <v>9</v>
      </c>
      <c r="G17" s="6"/>
    </row>
    <row r="18" spans="1:7" ht="25.05" customHeight="1">
      <c r="A18" s="6">
        <v>15</v>
      </c>
      <c r="B18" s="7" t="s">
        <v>23</v>
      </c>
      <c r="C18" s="6" t="s">
        <v>81</v>
      </c>
      <c r="D18" s="6" t="s">
        <v>221</v>
      </c>
      <c r="E18" s="8" t="s">
        <v>225</v>
      </c>
      <c r="F18" s="25">
        <v>20</v>
      </c>
      <c r="G18" s="6"/>
    </row>
    <row r="19" spans="1:7" ht="25.05" customHeight="1">
      <c r="A19" s="6">
        <v>16</v>
      </c>
      <c r="B19" s="7" t="s">
        <v>23</v>
      </c>
      <c r="C19" s="6" t="s">
        <v>81</v>
      </c>
      <c r="D19" s="6" t="s">
        <v>221</v>
      </c>
      <c r="E19" s="8" t="s">
        <v>294</v>
      </c>
      <c r="F19" s="25">
        <v>22</v>
      </c>
      <c r="G19" s="6"/>
    </row>
    <row r="20" spans="1:7" ht="25.05" customHeight="1">
      <c r="A20" s="6">
        <v>17</v>
      </c>
      <c r="B20" s="7" t="s">
        <v>23</v>
      </c>
      <c r="C20" s="6" t="s">
        <v>81</v>
      </c>
      <c r="D20" s="6" t="s">
        <v>221</v>
      </c>
      <c r="E20" s="8" t="s">
        <v>227</v>
      </c>
      <c r="F20" s="25">
        <v>20</v>
      </c>
      <c r="G20" s="6"/>
    </row>
    <row r="21" spans="1:7" ht="25.05" customHeight="1">
      <c r="A21" s="6">
        <v>18</v>
      </c>
      <c r="B21" s="7" t="s">
        <v>23</v>
      </c>
      <c r="C21" s="6" t="s">
        <v>81</v>
      </c>
      <c r="D21" s="6" t="s">
        <v>221</v>
      </c>
      <c r="E21" s="8" t="s">
        <v>380</v>
      </c>
      <c r="F21" s="25">
        <v>12</v>
      </c>
      <c r="G21" s="6"/>
    </row>
    <row r="22" spans="1:7" ht="25.05" customHeight="1">
      <c r="A22" s="6">
        <v>19</v>
      </c>
      <c r="B22" s="7" t="s">
        <v>23</v>
      </c>
      <c r="C22" s="6" t="s">
        <v>81</v>
      </c>
      <c r="D22" s="3" t="s">
        <v>219</v>
      </c>
      <c r="E22" s="9" t="s">
        <v>540</v>
      </c>
      <c r="F22" s="79">
        <f>SUM(F15:F21)</f>
        <v>139</v>
      </c>
      <c r="G22" s="3"/>
    </row>
    <row r="23" spans="1:7" ht="25.05" customHeight="1">
      <c r="A23" s="6">
        <v>20</v>
      </c>
      <c r="B23" s="7" t="s">
        <v>23</v>
      </c>
      <c r="C23" s="6" t="s">
        <v>81</v>
      </c>
      <c r="D23" s="6" t="s">
        <v>229</v>
      </c>
      <c r="E23" s="8" t="s">
        <v>230</v>
      </c>
      <c r="F23" s="25">
        <v>14</v>
      </c>
      <c r="G23" s="6"/>
    </row>
    <row r="24" spans="1:7" ht="25.05" customHeight="1">
      <c r="A24" s="6">
        <v>21</v>
      </c>
      <c r="B24" s="7" t="s">
        <v>23</v>
      </c>
      <c r="C24" s="6" t="s">
        <v>81</v>
      </c>
      <c r="D24" s="6" t="s">
        <v>229</v>
      </c>
      <c r="E24" s="8" t="s">
        <v>411</v>
      </c>
      <c r="F24" s="25">
        <v>52</v>
      </c>
      <c r="G24" s="6"/>
    </row>
    <row r="25" spans="1:7" ht="25.05" customHeight="1">
      <c r="A25" s="6">
        <v>22</v>
      </c>
      <c r="B25" s="7" t="s">
        <v>23</v>
      </c>
      <c r="C25" s="6" t="s">
        <v>81</v>
      </c>
      <c r="D25" s="6" t="s">
        <v>229</v>
      </c>
      <c r="E25" s="8" t="s">
        <v>232</v>
      </c>
      <c r="F25" s="25">
        <v>18</v>
      </c>
      <c r="G25" s="6"/>
    </row>
    <row r="26" spans="1:7" ht="25.05" customHeight="1">
      <c r="A26" s="6">
        <v>23</v>
      </c>
      <c r="B26" s="7" t="s">
        <v>23</v>
      </c>
      <c r="C26" s="6" t="s">
        <v>81</v>
      </c>
      <c r="D26" s="6" t="s">
        <v>229</v>
      </c>
      <c r="E26" s="8" t="s">
        <v>315</v>
      </c>
      <c r="F26" s="25">
        <v>25</v>
      </c>
      <c r="G26" s="6"/>
    </row>
    <row r="27" spans="1:7" ht="25.05" customHeight="1">
      <c r="A27" s="6">
        <v>24</v>
      </c>
      <c r="B27" s="7" t="s">
        <v>23</v>
      </c>
      <c r="C27" s="6" t="s">
        <v>81</v>
      </c>
      <c r="D27" s="6" t="s">
        <v>229</v>
      </c>
      <c r="E27" s="8" t="s">
        <v>237</v>
      </c>
      <c r="F27" s="25">
        <v>8</v>
      </c>
      <c r="G27" s="6"/>
    </row>
    <row r="28" spans="1:7" ht="25.05" customHeight="1">
      <c r="A28" s="6">
        <v>25</v>
      </c>
      <c r="B28" s="7" t="s">
        <v>23</v>
      </c>
      <c r="C28" s="6" t="s">
        <v>81</v>
      </c>
      <c r="D28" s="6" t="s">
        <v>229</v>
      </c>
      <c r="E28" s="8" t="s">
        <v>235</v>
      </c>
      <c r="F28" s="25">
        <v>10</v>
      </c>
      <c r="G28" s="6"/>
    </row>
    <row r="29" spans="1:7" ht="25.05" customHeight="1">
      <c r="A29" s="6">
        <v>26</v>
      </c>
      <c r="B29" s="7" t="s">
        <v>23</v>
      </c>
      <c r="C29" s="6" t="s">
        <v>81</v>
      </c>
      <c r="D29" s="6" t="s">
        <v>229</v>
      </c>
      <c r="E29" s="8" t="s">
        <v>551</v>
      </c>
      <c r="F29" s="25">
        <v>20</v>
      </c>
      <c r="G29" s="6"/>
    </row>
    <row r="30" spans="1:7" ht="25.05" customHeight="1">
      <c r="A30" s="6">
        <v>27</v>
      </c>
      <c r="B30" s="7" t="s">
        <v>23</v>
      </c>
      <c r="C30" s="6" t="s">
        <v>81</v>
      </c>
      <c r="D30" s="6" t="s">
        <v>229</v>
      </c>
      <c r="E30" s="81" t="s">
        <v>552</v>
      </c>
      <c r="F30" s="25">
        <v>18</v>
      </c>
      <c r="G30" s="6"/>
    </row>
    <row r="31" spans="1:7" ht="25.05" customHeight="1">
      <c r="A31" s="6">
        <v>28</v>
      </c>
      <c r="B31" s="7" t="s">
        <v>23</v>
      </c>
      <c r="C31" s="6" t="s">
        <v>81</v>
      </c>
      <c r="D31" s="3" t="s">
        <v>219</v>
      </c>
      <c r="E31" s="9" t="s">
        <v>541</v>
      </c>
      <c r="F31" s="79">
        <f>SUM(F23:F30)</f>
        <v>165</v>
      </c>
      <c r="G31" s="3"/>
    </row>
    <row r="32" spans="1:7" ht="25.05" customHeight="1">
      <c r="A32" s="6">
        <v>29</v>
      </c>
      <c r="B32" s="7" t="s">
        <v>23</v>
      </c>
      <c r="C32" s="6" t="s">
        <v>81</v>
      </c>
      <c r="D32" s="6" t="s">
        <v>239</v>
      </c>
      <c r="E32" s="8" t="s">
        <v>240</v>
      </c>
      <c r="F32" s="25">
        <v>70</v>
      </c>
      <c r="G32" s="6"/>
    </row>
    <row r="33" spans="1:7" ht="25.05" customHeight="1">
      <c r="A33" s="6">
        <v>30</v>
      </c>
      <c r="B33" s="7" t="s">
        <v>23</v>
      </c>
      <c r="C33" s="6" t="s">
        <v>81</v>
      </c>
      <c r="D33" s="6" t="s">
        <v>239</v>
      </c>
      <c r="E33" s="8" t="s">
        <v>241</v>
      </c>
      <c r="F33" s="25">
        <v>60</v>
      </c>
      <c r="G33" s="6"/>
    </row>
    <row r="34" spans="1:7" ht="25.05" customHeight="1">
      <c r="A34" s="6">
        <v>31</v>
      </c>
      <c r="B34" s="7" t="s">
        <v>23</v>
      </c>
      <c r="C34" s="6" t="s">
        <v>81</v>
      </c>
      <c r="D34" s="3" t="s">
        <v>219</v>
      </c>
      <c r="E34" s="9" t="s">
        <v>542</v>
      </c>
      <c r="F34" s="79">
        <f>SUM(F32:F33)</f>
        <v>130</v>
      </c>
      <c r="G34" s="3"/>
    </row>
    <row r="35" spans="1:7" ht="25.05" customHeight="1">
      <c r="A35" s="6">
        <v>32</v>
      </c>
      <c r="B35" s="7" t="s">
        <v>23</v>
      </c>
      <c r="C35" s="6" t="s">
        <v>81</v>
      </c>
      <c r="D35" s="6" t="s">
        <v>243</v>
      </c>
      <c r="E35" s="8" t="s">
        <v>319</v>
      </c>
      <c r="F35" s="25">
        <v>6</v>
      </c>
      <c r="G35" s="116"/>
    </row>
    <row r="36" spans="1:7" ht="25.05" customHeight="1">
      <c r="A36" s="6">
        <v>33</v>
      </c>
      <c r="B36" s="7" t="s">
        <v>23</v>
      </c>
      <c r="C36" s="6" t="s">
        <v>81</v>
      </c>
      <c r="D36" s="6" t="s">
        <v>243</v>
      </c>
      <c r="E36" s="8" t="s">
        <v>320</v>
      </c>
      <c r="F36" s="25">
        <v>6</v>
      </c>
      <c r="G36" s="116"/>
    </row>
    <row r="37" spans="1:7" ht="25.05" customHeight="1">
      <c r="A37" s="6">
        <v>34</v>
      </c>
      <c r="B37" s="7" t="s">
        <v>23</v>
      </c>
      <c r="C37" s="6" t="s">
        <v>81</v>
      </c>
      <c r="D37" s="6" t="s">
        <v>243</v>
      </c>
      <c r="E37" s="8" t="s">
        <v>321</v>
      </c>
      <c r="F37" s="25">
        <v>10.56</v>
      </c>
      <c r="G37" s="116"/>
    </row>
    <row r="38" spans="1:7" ht="25.05" customHeight="1">
      <c r="A38" s="6">
        <v>35</v>
      </c>
      <c r="B38" s="7" t="s">
        <v>23</v>
      </c>
      <c r="C38" s="6" t="s">
        <v>81</v>
      </c>
      <c r="D38" s="6" t="s">
        <v>243</v>
      </c>
      <c r="E38" s="8" t="s">
        <v>247</v>
      </c>
      <c r="F38" s="25">
        <v>2</v>
      </c>
      <c r="G38" s="116"/>
    </row>
    <row r="39" spans="1:7" ht="25.05" customHeight="1">
      <c r="A39" s="6">
        <v>36</v>
      </c>
      <c r="B39" s="7" t="s">
        <v>23</v>
      </c>
      <c r="C39" s="6" t="s">
        <v>81</v>
      </c>
      <c r="D39" s="3" t="s">
        <v>219</v>
      </c>
      <c r="E39" s="75" t="s">
        <v>248</v>
      </c>
      <c r="F39" s="79">
        <f>SUM(F35:F38)</f>
        <v>24.56</v>
      </c>
      <c r="G39" s="3"/>
    </row>
    <row r="40" spans="1:7" ht="25.05" customHeight="1">
      <c r="A40" s="6">
        <v>37</v>
      </c>
      <c r="B40" s="7" t="s">
        <v>23</v>
      </c>
      <c r="C40" s="6" t="s">
        <v>81</v>
      </c>
      <c r="D40" s="6" t="s">
        <v>249</v>
      </c>
      <c r="E40" s="8" t="s">
        <v>332</v>
      </c>
      <c r="F40" s="25">
        <v>7</v>
      </c>
      <c r="G40" s="116"/>
    </row>
    <row r="41" spans="1:7" ht="25.05" customHeight="1">
      <c r="A41" s="6">
        <v>38</v>
      </c>
      <c r="B41" s="7" t="s">
        <v>23</v>
      </c>
      <c r="C41" s="6" t="s">
        <v>81</v>
      </c>
      <c r="D41" s="6" t="s">
        <v>249</v>
      </c>
      <c r="E41" s="8" t="s">
        <v>553</v>
      </c>
      <c r="F41" s="25">
        <v>24</v>
      </c>
      <c r="G41" s="116"/>
    </row>
    <row r="42" spans="1:7" ht="25.05" customHeight="1">
      <c r="A42" s="6">
        <v>39</v>
      </c>
      <c r="B42" s="7" t="s">
        <v>23</v>
      </c>
      <c r="C42" s="6" t="s">
        <v>81</v>
      </c>
      <c r="D42" s="6" t="s">
        <v>249</v>
      </c>
      <c r="E42" s="8" t="s">
        <v>334</v>
      </c>
      <c r="F42" s="25">
        <v>31.5</v>
      </c>
      <c r="G42" s="116"/>
    </row>
    <row r="43" spans="1:7" ht="25.05" customHeight="1">
      <c r="A43" s="6">
        <v>40</v>
      </c>
      <c r="B43" s="7" t="s">
        <v>23</v>
      </c>
      <c r="C43" s="6" t="s">
        <v>81</v>
      </c>
      <c r="D43" s="6" t="s">
        <v>249</v>
      </c>
      <c r="E43" s="8" t="s">
        <v>335</v>
      </c>
      <c r="F43" s="25">
        <v>7</v>
      </c>
      <c r="G43" s="116"/>
    </row>
    <row r="44" spans="1:7" ht="25.05" customHeight="1">
      <c r="A44" s="6">
        <v>41</v>
      </c>
      <c r="B44" s="7" t="s">
        <v>23</v>
      </c>
      <c r="C44" s="6" t="s">
        <v>81</v>
      </c>
      <c r="D44" s="6" t="s">
        <v>249</v>
      </c>
      <c r="E44" s="8" t="s">
        <v>336</v>
      </c>
      <c r="F44" s="25">
        <v>3</v>
      </c>
      <c r="G44" s="116"/>
    </row>
    <row r="45" spans="1:7" ht="25.05" customHeight="1">
      <c r="A45" s="6">
        <v>42</v>
      </c>
      <c r="B45" s="7" t="s">
        <v>23</v>
      </c>
      <c r="C45" s="6" t="s">
        <v>81</v>
      </c>
      <c r="D45" s="6" t="s">
        <v>249</v>
      </c>
      <c r="E45" s="8" t="s">
        <v>554</v>
      </c>
      <c r="F45" s="25">
        <v>20</v>
      </c>
      <c r="G45" s="116"/>
    </row>
    <row r="46" spans="1:7" ht="25.05" customHeight="1">
      <c r="A46" s="6">
        <v>43</v>
      </c>
      <c r="B46" s="7" t="s">
        <v>23</v>
      </c>
      <c r="C46" s="6" t="s">
        <v>81</v>
      </c>
      <c r="D46" s="6" t="s">
        <v>249</v>
      </c>
      <c r="E46" s="8" t="s">
        <v>555</v>
      </c>
      <c r="F46" s="25">
        <v>120</v>
      </c>
      <c r="G46" s="116"/>
    </row>
    <row r="47" spans="1:7" ht="25.05" customHeight="1">
      <c r="A47" s="6">
        <v>44</v>
      </c>
      <c r="B47" s="7" t="s">
        <v>23</v>
      </c>
      <c r="C47" s="6" t="s">
        <v>81</v>
      </c>
      <c r="D47" s="3" t="s">
        <v>219</v>
      </c>
      <c r="E47" s="9" t="s">
        <v>255</v>
      </c>
      <c r="F47" s="79">
        <f>SUM(F40:F46)</f>
        <v>212.5</v>
      </c>
      <c r="G47" s="3"/>
    </row>
    <row r="48" spans="1:7" ht="25.05" customHeight="1">
      <c r="A48" s="6">
        <v>45</v>
      </c>
      <c r="B48" s="7" t="s">
        <v>23</v>
      </c>
      <c r="C48" s="6" t="s">
        <v>81</v>
      </c>
      <c r="D48" s="6" t="s">
        <v>556</v>
      </c>
      <c r="E48" s="11" t="s">
        <v>557</v>
      </c>
      <c r="F48" s="106">
        <v>30</v>
      </c>
      <c r="G48" s="117"/>
    </row>
    <row r="49" spans="1:7" ht="25.05" customHeight="1">
      <c r="A49" s="6">
        <v>46</v>
      </c>
      <c r="B49" s="7" t="s">
        <v>23</v>
      </c>
      <c r="C49" s="6" t="s">
        <v>81</v>
      </c>
      <c r="D49" s="3" t="s">
        <v>219</v>
      </c>
      <c r="E49" s="9" t="s">
        <v>558</v>
      </c>
      <c r="F49" s="79">
        <f>SUM(F48)</f>
        <v>30</v>
      </c>
      <c r="G49" s="3"/>
    </row>
    <row r="50" spans="1:7" ht="25.05" customHeight="1">
      <c r="A50" s="6">
        <v>47</v>
      </c>
      <c r="B50" s="7" t="s">
        <v>23</v>
      </c>
      <c r="C50" s="6" t="s">
        <v>81</v>
      </c>
      <c r="D50" s="6" t="s">
        <v>259</v>
      </c>
      <c r="E50" s="8" t="s">
        <v>559</v>
      </c>
      <c r="F50" s="25">
        <v>715</v>
      </c>
      <c r="G50" s="25"/>
    </row>
    <row r="51" spans="1:7" ht="25.05" customHeight="1">
      <c r="A51" s="6">
        <v>48</v>
      </c>
      <c r="B51" s="7" t="s">
        <v>23</v>
      </c>
      <c r="C51" s="6" t="s">
        <v>81</v>
      </c>
      <c r="D51" s="6" t="s">
        <v>259</v>
      </c>
      <c r="E51" s="8" t="s">
        <v>560</v>
      </c>
      <c r="F51" s="25">
        <v>60</v>
      </c>
      <c r="G51" s="25"/>
    </row>
    <row r="52" spans="1:7" ht="25.05" customHeight="1">
      <c r="A52" s="6">
        <v>49</v>
      </c>
      <c r="B52" s="7" t="s">
        <v>23</v>
      </c>
      <c r="C52" s="6" t="s">
        <v>81</v>
      </c>
      <c r="D52" s="3" t="s">
        <v>219</v>
      </c>
      <c r="E52" s="9" t="s">
        <v>261</v>
      </c>
      <c r="F52" s="79">
        <f>SUM(F50:F51)</f>
        <v>775</v>
      </c>
      <c r="G52" s="3"/>
    </row>
    <row r="53" spans="1:7" ht="25.05" customHeight="1">
      <c r="A53" s="6">
        <v>50</v>
      </c>
      <c r="B53" s="7" t="s">
        <v>23</v>
      </c>
      <c r="C53" s="6" t="s">
        <v>81</v>
      </c>
      <c r="D53" s="6" t="s">
        <v>262</v>
      </c>
      <c r="E53" s="8" t="s">
        <v>263</v>
      </c>
      <c r="F53" s="25">
        <v>90</v>
      </c>
      <c r="G53" s="116"/>
    </row>
    <row r="54" spans="1:7" ht="25.05" customHeight="1">
      <c r="A54" s="6">
        <v>51</v>
      </c>
      <c r="B54" s="7" t="s">
        <v>23</v>
      </c>
      <c r="C54" s="6" t="s">
        <v>81</v>
      </c>
      <c r="D54" s="6" t="s">
        <v>262</v>
      </c>
      <c r="E54" s="8" t="s">
        <v>316</v>
      </c>
      <c r="F54" s="25">
        <v>40</v>
      </c>
      <c r="G54" s="116"/>
    </row>
    <row r="55" spans="1:7" ht="25.05" customHeight="1">
      <c r="A55" s="6">
        <v>52</v>
      </c>
      <c r="B55" s="7" t="s">
        <v>23</v>
      </c>
      <c r="C55" s="6" t="s">
        <v>81</v>
      </c>
      <c r="D55" s="6" t="s">
        <v>262</v>
      </c>
      <c r="E55" s="8" t="s">
        <v>265</v>
      </c>
      <c r="F55" s="25">
        <v>20</v>
      </c>
      <c r="G55" s="116"/>
    </row>
    <row r="56" spans="1:7" ht="25.05" customHeight="1">
      <c r="A56" s="6">
        <v>53</v>
      </c>
      <c r="B56" s="7" t="s">
        <v>23</v>
      </c>
      <c r="C56" s="6" t="s">
        <v>81</v>
      </c>
      <c r="D56" s="3" t="s">
        <v>219</v>
      </c>
      <c r="E56" s="9" t="s">
        <v>546</v>
      </c>
      <c r="F56" s="79">
        <f>SUM(F53:F55)</f>
        <v>150</v>
      </c>
      <c r="G56" s="3"/>
    </row>
    <row r="57" spans="1:7" ht="25.05" customHeight="1">
      <c r="A57" s="6">
        <v>54</v>
      </c>
      <c r="B57" s="7" t="s">
        <v>23</v>
      </c>
      <c r="C57" s="6" t="s">
        <v>81</v>
      </c>
      <c r="D57" s="3" t="s">
        <v>267</v>
      </c>
      <c r="E57" s="9" t="s">
        <v>561</v>
      </c>
      <c r="F57" s="79">
        <v>1876</v>
      </c>
      <c r="G57" s="3"/>
    </row>
    <row r="58" spans="1:7" ht="25.05" customHeight="1">
      <c r="A58" s="219" t="s">
        <v>437</v>
      </c>
      <c r="B58" s="219"/>
      <c r="C58" s="219"/>
      <c r="D58" s="219"/>
      <c r="E58" s="219"/>
      <c r="F58" s="219"/>
      <c r="G58" s="219"/>
    </row>
  </sheetData>
  <autoFilter ref="A3:G58" xr:uid="{00000000-0009-0000-0000-000018000000}"/>
  <mergeCells count="3">
    <mergeCell ref="A1:G1"/>
    <mergeCell ref="A2:G2"/>
    <mergeCell ref="A58:G58"/>
  </mergeCells>
  <phoneticPr fontId="23" type="noConversion"/>
  <pageMargins left="0.59055118110236204" right="0.196850393700787" top="0.27559055118110198" bottom="0.43307086614173201" header="0.27559055118110198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G55"/>
  <sheetViews>
    <sheetView topLeftCell="A35" zoomScaleNormal="100" zoomScaleSheetLayoutView="115" workbookViewId="0">
      <selection activeCell="E45" sqref="E45"/>
    </sheetView>
  </sheetViews>
  <sheetFormatPr defaultColWidth="9" defaultRowHeight="15.75"/>
  <cols>
    <col min="1" max="1" width="3.73046875" style="1" customWidth="1"/>
    <col min="2" max="2" width="8.19921875" style="2" customWidth="1"/>
    <col min="3" max="3" width="20.06640625" style="1" customWidth="1"/>
    <col min="4" max="4" width="10.46484375" style="1" customWidth="1"/>
    <col min="5" max="5" width="38.53125" style="1" customWidth="1"/>
    <col min="6" max="6" width="5.796875" style="78" customWidth="1"/>
    <col min="7" max="7" width="7.59765625" style="78" customWidth="1"/>
  </cols>
  <sheetData>
    <row r="1" spans="1:7" ht="25.05" customHeight="1">
      <c r="A1" s="215" t="s">
        <v>562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563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564</v>
      </c>
      <c r="D4" s="6" t="s">
        <v>209</v>
      </c>
      <c r="E4" s="8" t="s">
        <v>210</v>
      </c>
      <c r="F4" s="25">
        <v>19</v>
      </c>
      <c r="G4" s="25"/>
    </row>
    <row r="5" spans="1:7" ht="25.05" customHeight="1">
      <c r="A5" s="6">
        <v>2</v>
      </c>
      <c r="B5" s="7" t="s">
        <v>32</v>
      </c>
      <c r="C5" s="6" t="s">
        <v>564</v>
      </c>
      <c r="D5" s="6" t="s">
        <v>209</v>
      </c>
      <c r="E5" s="8" t="s">
        <v>211</v>
      </c>
      <c r="F5" s="25">
        <v>15</v>
      </c>
      <c r="G5" s="25"/>
    </row>
    <row r="6" spans="1:7" ht="25.05" customHeight="1">
      <c r="A6" s="6">
        <v>3</v>
      </c>
      <c r="B6" s="7" t="s">
        <v>32</v>
      </c>
      <c r="C6" s="6" t="s">
        <v>564</v>
      </c>
      <c r="D6" s="6" t="s">
        <v>209</v>
      </c>
      <c r="E6" s="8" t="s">
        <v>212</v>
      </c>
      <c r="F6" s="25">
        <v>34</v>
      </c>
      <c r="G6" s="25"/>
    </row>
    <row r="7" spans="1:7" ht="25.05" customHeight="1">
      <c r="A7" s="6">
        <v>4</v>
      </c>
      <c r="B7" s="7" t="s">
        <v>32</v>
      </c>
      <c r="C7" s="6" t="s">
        <v>564</v>
      </c>
      <c r="D7" s="6" t="s">
        <v>209</v>
      </c>
      <c r="E7" s="8" t="s">
        <v>272</v>
      </c>
      <c r="F7" s="25">
        <v>34</v>
      </c>
      <c r="G7" s="25"/>
    </row>
    <row r="8" spans="1:7" ht="25.05" customHeight="1">
      <c r="A8" s="6">
        <v>5</v>
      </c>
      <c r="B8" s="7" t="s">
        <v>32</v>
      </c>
      <c r="C8" s="6" t="s">
        <v>564</v>
      </c>
      <c r="D8" s="6" t="s">
        <v>209</v>
      </c>
      <c r="E8" s="8" t="s">
        <v>214</v>
      </c>
      <c r="F8" s="25">
        <v>26</v>
      </c>
      <c r="G8" s="25"/>
    </row>
    <row r="9" spans="1:7" ht="25.05" customHeight="1">
      <c r="A9" s="6">
        <v>6</v>
      </c>
      <c r="B9" s="7" t="s">
        <v>32</v>
      </c>
      <c r="C9" s="6" t="s">
        <v>564</v>
      </c>
      <c r="D9" s="6" t="s">
        <v>209</v>
      </c>
      <c r="E9" s="8" t="s">
        <v>312</v>
      </c>
      <c r="F9" s="25">
        <v>10</v>
      </c>
      <c r="G9" s="25"/>
    </row>
    <row r="10" spans="1:7" ht="25.05" customHeight="1">
      <c r="A10" s="6">
        <v>7</v>
      </c>
      <c r="B10" s="7" t="s">
        <v>32</v>
      </c>
      <c r="C10" s="6" t="s">
        <v>564</v>
      </c>
      <c r="D10" s="6" t="s">
        <v>209</v>
      </c>
      <c r="E10" s="8" t="s">
        <v>216</v>
      </c>
      <c r="F10" s="25">
        <v>35</v>
      </c>
      <c r="G10" s="25"/>
    </row>
    <row r="11" spans="1:7" ht="25.05" customHeight="1">
      <c r="A11" s="6">
        <v>8</v>
      </c>
      <c r="B11" s="7" t="s">
        <v>32</v>
      </c>
      <c r="C11" s="6" t="s">
        <v>564</v>
      </c>
      <c r="D11" s="6" t="s">
        <v>209</v>
      </c>
      <c r="E11" s="8" t="s">
        <v>292</v>
      </c>
      <c r="F11" s="25">
        <v>12</v>
      </c>
      <c r="G11" s="25"/>
    </row>
    <row r="12" spans="1:7" ht="25.05" customHeight="1">
      <c r="A12" s="6">
        <v>9</v>
      </c>
      <c r="B12" s="7" t="s">
        <v>32</v>
      </c>
      <c r="C12" s="6" t="s">
        <v>564</v>
      </c>
      <c r="D12" s="6" t="s">
        <v>209</v>
      </c>
      <c r="E12" s="8" t="s">
        <v>217</v>
      </c>
      <c r="F12" s="25">
        <v>55</v>
      </c>
      <c r="G12" s="25"/>
    </row>
    <row r="13" spans="1:7" ht="25.05" customHeight="1">
      <c r="A13" s="6">
        <v>10</v>
      </c>
      <c r="B13" s="7" t="s">
        <v>32</v>
      </c>
      <c r="C13" s="6" t="s">
        <v>564</v>
      </c>
      <c r="D13" s="6" t="s">
        <v>209</v>
      </c>
      <c r="E13" s="8" t="s">
        <v>218</v>
      </c>
      <c r="F13" s="25">
        <v>10</v>
      </c>
      <c r="G13" s="25"/>
    </row>
    <row r="14" spans="1:7" ht="25.05" customHeight="1">
      <c r="A14" s="6">
        <v>11</v>
      </c>
      <c r="B14" s="7" t="s">
        <v>32</v>
      </c>
      <c r="C14" s="6" t="s">
        <v>564</v>
      </c>
      <c r="D14" s="3" t="s">
        <v>219</v>
      </c>
      <c r="E14" s="9" t="s">
        <v>539</v>
      </c>
      <c r="F14" s="79">
        <f>SUM(F4:F13)</f>
        <v>250</v>
      </c>
      <c r="G14" s="79"/>
    </row>
    <row r="15" spans="1:7" ht="25.05" customHeight="1">
      <c r="A15" s="6">
        <v>12</v>
      </c>
      <c r="B15" s="7" t="s">
        <v>32</v>
      </c>
      <c r="C15" s="6" t="s">
        <v>564</v>
      </c>
      <c r="D15" s="6" t="s">
        <v>221</v>
      </c>
      <c r="E15" s="8" t="s">
        <v>222</v>
      </c>
      <c r="F15" s="25">
        <v>14</v>
      </c>
      <c r="G15" s="25"/>
    </row>
    <row r="16" spans="1:7" ht="25.05" customHeight="1">
      <c r="A16" s="6">
        <v>13</v>
      </c>
      <c r="B16" s="7" t="s">
        <v>32</v>
      </c>
      <c r="C16" s="6" t="s">
        <v>564</v>
      </c>
      <c r="D16" s="6" t="s">
        <v>221</v>
      </c>
      <c r="E16" s="8" t="s">
        <v>223</v>
      </c>
      <c r="F16" s="25">
        <v>22</v>
      </c>
      <c r="G16" s="25"/>
    </row>
    <row r="17" spans="1:7" ht="25.05" customHeight="1">
      <c r="A17" s="6">
        <v>14</v>
      </c>
      <c r="B17" s="7" t="s">
        <v>32</v>
      </c>
      <c r="C17" s="6" t="s">
        <v>564</v>
      </c>
      <c r="D17" s="6" t="s">
        <v>221</v>
      </c>
      <c r="E17" s="8" t="s">
        <v>224</v>
      </c>
      <c r="F17" s="25">
        <v>9</v>
      </c>
      <c r="G17" s="25"/>
    </row>
    <row r="18" spans="1:7" ht="25.05" customHeight="1">
      <c r="A18" s="6">
        <v>15</v>
      </c>
      <c r="B18" s="7" t="s">
        <v>32</v>
      </c>
      <c r="C18" s="6" t="s">
        <v>564</v>
      </c>
      <c r="D18" s="6" t="s">
        <v>221</v>
      </c>
      <c r="E18" s="8" t="s">
        <v>361</v>
      </c>
      <c r="F18" s="25">
        <v>20</v>
      </c>
      <c r="G18" s="25"/>
    </row>
    <row r="19" spans="1:7" ht="25.05" customHeight="1">
      <c r="A19" s="6">
        <v>16</v>
      </c>
      <c r="B19" s="7" t="s">
        <v>32</v>
      </c>
      <c r="C19" s="6" t="s">
        <v>564</v>
      </c>
      <c r="D19" s="6" t="s">
        <v>221</v>
      </c>
      <c r="E19" s="8" t="s">
        <v>343</v>
      </c>
      <c r="F19" s="25">
        <v>22</v>
      </c>
      <c r="G19" s="25"/>
    </row>
    <row r="20" spans="1:7" ht="25.05" customHeight="1">
      <c r="A20" s="6">
        <v>17</v>
      </c>
      <c r="B20" s="7" t="s">
        <v>32</v>
      </c>
      <c r="C20" s="6" t="s">
        <v>564</v>
      </c>
      <c r="D20" s="6" t="s">
        <v>221</v>
      </c>
      <c r="E20" s="8" t="s">
        <v>362</v>
      </c>
      <c r="F20" s="25">
        <v>20</v>
      </c>
      <c r="G20" s="25"/>
    </row>
    <row r="21" spans="1:7" ht="25.05" customHeight="1">
      <c r="A21" s="6">
        <v>18</v>
      </c>
      <c r="B21" s="7" t="s">
        <v>32</v>
      </c>
      <c r="C21" s="6" t="s">
        <v>564</v>
      </c>
      <c r="D21" s="3" t="s">
        <v>219</v>
      </c>
      <c r="E21" s="9" t="s">
        <v>540</v>
      </c>
      <c r="F21" s="85">
        <f>SUM(F15:F20)</f>
        <v>107</v>
      </c>
      <c r="G21" s="85"/>
    </row>
    <row r="22" spans="1:7" ht="25.05" customHeight="1">
      <c r="A22" s="6">
        <v>19</v>
      </c>
      <c r="B22" s="7" t="s">
        <v>32</v>
      </c>
      <c r="C22" s="6" t="s">
        <v>564</v>
      </c>
      <c r="D22" s="6" t="s">
        <v>229</v>
      </c>
      <c r="E22" s="8" t="s">
        <v>230</v>
      </c>
      <c r="F22" s="25">
        <v>14</v>
      </c>
      <c r="G22" s="25"/>
    </row>
    <row r="23" spans="1:7" ht="25.05" customHeight="1">
      <c r="A23" s="6">
        <v>20</v>
      </c>
      <c r="B23" s="7" t="s">
        <v>32</v>
      </c>
      <c r="C23" s="6" t="s">
        <v>564</v>
      </c>
      <c r="D23" s="6" t="s">
        <v>229</v>
      </c>
      <c r="E23" s="8" t="s">
        <v>231</v>
      </c>
      <c r="F23" s="25">
        <v>32</v>
      </c>
      <c r="G23" s="25"/>
    </row>
    <row r="24" spans="1:7" ht="25.05" customHeight="1">
      <c r="A24" s="6">
        <v>21</v>
      </c>
      <c r="B24" s="7" t="s">
        <v>32</v>
      </c>
      <c r="C24" s="6" t="s">
        <v>564</v>
      </c>
      <c r="D24" s="6" t="s">
        <v>229</v>
      </c>
      <c r="E24" s="8" t="s">
        <v>232</v>
      </c>
      <c r="F24" s="25">
        <v>18</v>
      </c>
      <c r="G24" s="25"/>
    </row>
    <row r="25" spans="1:7" ht="25.05" customHeight="1">
      <c r="A25" s="6">
        <v>22</v>
      </c>
      <c r="B25" s="7" t="s">
        <v>32</v>
      </c>
      <c r="C25" s="6" t="s">
        <v>564</v>
      </c>
      <c r="D25" s="6" t="s">
        <v>229</v>
      </c>
      <c r="E25" s="8" t="s">
        <v>233</v>
      </c>
      <c r="F25" s="25">
        <v>25</v>
      </c>
      <c r="G25" s="25"/>
    </row>
    <row r="26" spans="1:7" ht="25.05" customHeight="1">
      <c r="A26" s="6">
        <v>23</v>
      </c>
      <c r="B26" s="7" t="s">
        <v>32</v>
      </c>
      <c r="C26" s="6" t="s">
        <v>564</v>
      </c>
      <c r="D26" s="6" t="s">
        <v>229</v>
      </c>
      <c r="E26" s="8" t="s">
        <v>234</v>
      </c>
      <c r="F26" s="25">
        <v>19</v>
      </c>
      <c r="G26" s="25"/>
    </row>
    <row r="27" spans="1:7" ht="25.05" customHeight="1">
      <c r="A27" s="6">
        <v>24</v>
      </c>
      <c r="B27" s="7" t="s">
        <v>32</v>
      </c>
      <c r="C27" s="6" t="s">
        <v>564</v>
      </c>
      <c r="D27" s="6" t="s">
        <v>229</v>
      </c>
      <c r="E27" s="8" t="s">
        <v>235</v>
      </c>
      <c r="F27" s="25">
        <v>10</v>
      </c>
      <c r="G27" s="25"/>
    </row>
    <row r="28" spans="1:7" ht="25.05" customHeight="1">
      <c r="A28" s="6">
        <v>25</v>
      </c>
      <c r="B28" s="7" t="s">
        <v>32</v>
      </c>
      <c r="C28" s="6" t="s">
        <v>564</v>
      </c>
      <c r="D28" s="6" t="s">
        <v>229</v>
      </c>
      <c r="E28" s="8" t="s">
        <v>237</v>
      </c>
      <c r="F28" s="25">
        <v>8</v>
      </c>
      <c r="G28" s="25"/>
    </row>
    <row r="29" spans="1:7" ht="25.05" customHeight="1">
      <c r="A29" s="6">
        <v>26</v>
      </c>
      <c r="B29" s="7" t="s">
        <v>32</v>
      </c>
      <c r="C29" s="6" t="s">
        <v>564</v>
      </c>
      <c r="D29" s="3" t="s">
        <v>219</v>
      </c>
      <c r="E29" s="9" t="s">
        <v>540</v>
      </c>
      <c r="F29" s="85">
        <f>SUM(F22:F28)</f>
        <v>126</v>
      </c>
      <c r="G29" s="85"/>
    </row>
    <row r="30" spans="1:7" ht="25.05" customHeight="1">
      <c r="A30" s="6">
        <v>27</v>
      </c>
      <c r="B30" s="7" t="s">
        <v>32</v>
      </c>
      <c r="C30" s="6" t="s">
        <v>564</v>
      </c>
      <c r="D30" s="6" t="s">
        <v>239</v>
      </c>
      <c r="E30" s="8" t="s">
        <v>240</v>
      </c>
      <c r="F30" s="25">
        <v>70</v>
      </c>
      <c r="G30" s="25"/>
    </row>
    <row r="31" spans="1:7" ht="25.05" customHeight="1">
      <c r="A31" s="6">
        <v>28</v>
      </c>
      <c r="B31" s="7" t="s">
        <v>32</v>
      </c>
      <c r="C31" s="6" t="s">
        <v>564</v>
      </c>
      <c r="D31" s="6" t="s">
        <v>239</v>
      </c>
      <c r="E31" s="8" t="s">
        <v>241</v>
      </c>
      <c r="F31" s="25">
        <v>60</v>
      </c>
      <c r="G31" s="25"/>
    </row>
    <row r="32" spans="1:7" ht="25.05" customHeight="1">
      <c r="A32" s="6">
        <v>29</v>
      </c>
      <c r="B32" s="7" t="s">
        <v>32</v>
      </c>
      <c r="C32" s="6" t="s">
        <v>564</v>
      </c>
      <c r="D32" s="3" t="s">
        <v>219</v>
      </c>
      <c r="E32" s="9" t="s">
        <v>542</v>
      </c>
      <c r="F32" s="85">
        <f>SUM(F30:F31)</f>
        <v>130</v>
      </c>
      <c r="G32" s="79"/>
    </row>
    <row r="33" spans="1:7" ht="25.05" customHeight="1">
      <c r="A33" s="6">
        <v>30</v>
      </c>
      <c r="B33" s="7" t="s">
        <v>32</v>
      </c>
      <c r="C33" s="6" t="s">
        <v>564</v>
      </c>
      <c r="D33" s="6" t="s">
        <v>243</v>
      </c>
      <c r="E33" s="8" t="s">
        <v>349</v>
      </c>
      <c r="F33" s="25">
        <v>8.4</v>
      </c>
      <c r="G33" s="77"/>
    </row>
    <row r="34" spans="1:7" ht="25.05" customHeight="1">
      <c r="A34" s="6">
        <v>31</v>
      </c>
      <c r="B34" s="7" t="s">
        <v>32</v>
      </c>
      <c r="C34" s="6" t="s">
        <v>564</v>
      </c>
      <c r="D34" s="6" t="s">
        <v>243</v>
      </c>
      <c r="E34" s="8" t="s">
        <v>350</v>
      </c>
      <c r="F34" s="25">
        <v>8.4</v>
      </c>
      <c r="G34" s="77"/>
    </row>
    <row r="35" spans="1:7" ht="25.05" customHeight="1">
      <c r="A35" s="6">
        <v>32</v>
      </c>
      <c r="B35" s="7" t="s">
        <v>32</v>
      </c>
      <c r="C35" s="6" t="s">
        <v>564</v>
      </c>
      <c r="D35" s="6" t="s">
        <v>243</v>
      </c>
      <c r="E35" s="8" t="s">
        <v>303</v>
      </c>
      <c r="F35" s="25">
        <v>15.84</v>
      </c>
      <c r="G35" s="77"/>
    </row>
    <row r="36" spans="1:7" ht="25.05" customHeight="1">
      <c r="A36" s="6">
        <v>33</v>
      </c>
      <c r="B36" s="7" t="s">
        <v>32</v>
      </c>
      <c r="C36" s="6" t="s">
        <v>564</v>
      </c>
      <c r="D36" s="6" t="s">
        <v>243</v>
      </c>
      <c r="E36" s="8" t="s">
        <v>247</v>
      </c>
      <c r="F36" s="25">
        <v>2</v>
      </c>
      <c r="G36" s="77"/>
    </row>
    <row r="37" spans="1:7" ht="25.05" customHeight="1">
      <c r="A37" s="6">
        <v>34</v>
      </c>
      <c r="B37" s="7" t="s">
        <v>32</v>
      </c>
      <c r="C37" s="6" t="s">
        <v>564</v>
      </c>
      <c r="D37" s="3" t="s">
        <v>219</v>
      </c>
      <c r="E37" s="9" t="s">
        <v>248</v>
      </c>
      <c r="F37" s="85">
        <f>SUM(F33:F36)</f>
        <v>34.64</v>
      </c>
      <c r="G37" s="79"/>
    </row>
    <row r="38" spans="1:7" ht="25.05" customHeight="1">
      <c r="A38" s="6">
        <v>35</v>
      </c>
      <c r="B38" s="7" t="s">
        <v>32</v>
      </c>
      <c r="C38" s="6" t="s">
        <v>564</v>
      </c>
      <c r="D38" s="6" t="s">
        <v>249</v>
      </c>
      <c r="E38" s="8" t="s">
        <v>366</v>
      </c>
      <c r="F38" s="25">
        <v>10</v>
      </c>
      <c r="G38" s="77"/>
    </row>
    <row r="39" spans="1:7" ht="25.05" customHeight="1">
      <c r="A39" s="6">
        <v>36</v>
      </c>
      <c r="B39" s="7" t="s">
        <v>32</v>
      </c>
      <c r="C39" s="6" t="s">
        <v>564</v>
      </c>
      <c r="D39" s="6" t="s">
        <v>249</v>
      </c>
      <c r="E39" s="8" t="s">
        <v>367</v>
      </c>
      <c r="F39" s="25">
        <v>10</v>
      </c>
      <c r="G39" s="77"/>
    </row>
    <row r="40" spans="1:7" ht="25.05" customHeight="1">
      <c r="A40" s="6">
        <v>37</v>
      </c>
      <c r="B40" s="7" t="s">
        <v>32</v>
      </c>
      <c r="C40" s="6" t="s">
        <v>564</v>
      </c>
      <c r="D40" s="6" t="s">
        <v>249</v>
      </c>
      <c r="E40" s="8" t="s">
        <v>368</v>
      </c>
      <c r="F40" s="25">
        <v>45</v>
      </c>
      <c r="G40" s="77"/>
    </row>
    <row r="41" spans="1:7" ht="25.05" customHeight="1">
      <c r="A41" s="6">
        <v>38</v>
      </c>
      <c r="B41" s="7" t="s">
        <v>32</v>
      </c>
      <c r="C41" s="6" t="s">
        <v>564</v>
      </c>
      <c r="D41" s="6" t="s">
        <v>249</v>
      </c>
      <c r="E41" s="8" t="s">
        <v>369</v>
      </c>
      <c r="F41" s="25">
        <v>10</v>
      </c>
      <c r="G41" s="77"/>
    </row>
    <row r="42" spans="1:7" ht="25.05" customHeight="1">
      <c r="A42" s="6">
        <v>39</v>
      </c>
      <c r="B42" s="7" t="s">
        <v>32</v>
      </c>
      <c r="C42" s="6" t="s">
        <v>564</v>
      </c>
      <c r="D42" s="6" t="s">
        <v>249</v>
      </c>
      <c r="E42" s="8" t="s">
        <v>285</v>
      </c>
      <c r="F42" s="25">
        <v>5</v>
      </c>
      <c r="G42" s="77"/>
    </row>
    <row r="43" spans="1:7" ht="25.05" customHeight="1">
      <c r="A43" s="6">
        <v>40</v>
      </c>
      <c r="B43" s="7" t="s">
        <v>32</v>
      </c>
      <c r="C43" s="6" t="s">
        <v>564</v>
      </c>
      <c r="D43" s="3" t="s">
        <v>219</v>
      </c>
      <c r="E43" s="9" t="s">
        <v>255</v>
      </c>
      <c r="F43" s="85">
        <f>SUM(F38:F42)</f>
        <v>80</v>
      </c>
      <c r="G43" s="79"/>
    </row>
    <row r="44" spans="1:7" ht="25.05" customHeight="1">
      <c r="A44" s="6">
        <v>41</v>
      </c>
      <c r="B44" s="7" t="s">
        <v>32</v>
      </c>
      <c r="C44" s="6" t="s">
        <v>564</v>
      </c>
      <c r="D44" s="76" t="s">
        <v>256</v>
      </c>
      <c r="E44" s="11" t="s">
        <v>286</v>
      </c>
      <c r="F44" s="106">
        <v>10</v>
      </c>
      <c r="G44" s="117"/>
    </row>
    <row r="45" spans="1:7" ht="25.05" customHeight="1">
      <c r="A45" s="6">
        <v>42</v>
      </c>
      <c r="B45" s="7" t="s">
        <v>32</v>
      </c>
      <c r="C45" s="6" t="s">
        <v>564</v>
      </c>
      <c r="D45" s="3" t="s">
        <v>219</v>
      </c>
      <c r="E45" s="9" t="s">
        <v>258</v>
      </c>
      <c r="F45" s="85">
        <f>SUM(F44)</f>
        <v>10</v>
      </c>
      <c r="G45" s="79"/>
    </row>
    <row r="46" spans="1:7" ht="25.05" customHeight="1">
      <c r="A46" s="6">
        <v>43</v>
      </c>
      <c r="B46" s="7" t="s">
        <v>32</v>
      </c>
      <c r="C46" s="6" t="s">
        <v>564</v>
      </c>
      <c r="D46" s="76" t="s">
        <v>259</v>
      </c>
      <c r="E46" s="8" t="s">
        <v>276</v>
      </c>
      <c r="F46" s="110">
        <v>10</v>
      </c>
      <c r="G46" s="118"/>
    </row>
    <row r="47" spans="1:7" ht="25.05" customHeight="1">
      <c r="A47" s="6">
        <v>44</v>
      </c>
      <c r="B47" s="7" t="s">
        <v>32</v>
      </c>
      <c r="C47" s="6" t="s">
        <v>564</v>
      </c>
      <c r="D47" s="3" t="s">
        <v>219</v>
      </c>
      <c r="E47" s="9" t="s">
        <v>565</v>
      </c>
      <c r="F47" s="85">
        <f>SUM(F46)</f>
        <v>10</v>
      </c>
      <c r="G47" s="79"/>
    </row>
    <row r="48" spans="1:7" ht="25.05" customHeight="1">
      <c r="A48" s="6">
        <v>45</v>
      </c>
      <c r="B48" s="7" t="s">
        <v>32</v>
      </c>
      <c r="C48" s="6" t="s">
        <v>564</v>
      </c>
      <c r="D48" s="76" t="s">
        <v>262</v>
      </c>
      <c r="E48" s="8" t="s">
        <v>263</v>
      </c>
      <c r="F48" s="25">
        <v>75</v>
      </c>
      <c r="G48" s="77"/>
    </row>
    <row r="49" spans="1:7" ht="25.05" customHeight="1">
      <c r="A49" s="6">
        <v>46</v>
      </c>
      <c r="B49" s="7" t="s">
        <v>32</v>
      </c>
      <c r="C49" s="6" t="s">
        <v>564</v>
      </c>
      <c r="D49" s="76" t="s">
        <v>262</v>
      </c>
      <c r="E49" s="8" t="s">
        <v>264</v>
      </c>
      <c r="F49" s="25">
        <v>40</v>
      </c>
      <c r="G49" s="77"/>
    </row>
    <row r="50" spans="1:7" ht="25.05" customHeight="1">
      <c r="A50" s="6">
        <v>47</v>
      </c>
      <c r="B50" s="7" t="s">
        <v>32</v>
      </c>
      <c r="C50" s="6" t="s">
        <v>564</v>
      </c>
      <c r="D50" s="76" t="s">
        <v>262</v>
      </c>
      <c r="E50" s="8" t="s">
        <v>265</v>
      </c>
      <c r="F50" s="25">
        <v>20</v>
      </c>
      <c r="G50" s="77"/>
    </row>
    <row r="51" spans="1:7" ht="25.05" customHeight="1">
      <c r="A51" s="6">
        <v>48</v>
      </c>
      <c r="B51" s="7" t="s">
        <v>32</v>
      </c>
      <c r="C51" s="6" t="s">
        <v>564</v>
      </c>
      <c r="D51" s="3" t="s">
        <v>219</v>
      </c>
      <c r="E51" s="9" t="s">
        <v>546</v>
      </c>
      <c r="F51" s="85">
        <f>SUM(F48:F50)</f>
        <v>135</v>
      </c>
      <c r="G51" s="79"/>
    </row>
    <row r="52" spans="1:7" ht="25.05" customHeight="1">
      <c r="A52" s="6">
        <v>49</v>
      </c>
      <c r="B52" s="7" t="s">
        <v>32</v>
      </c>
      <c r="C52" s="6" t="s">
        <v>564</v>
      </c>
      <c r="D52" s="3" t="s">
        <v>267</v>
      </c>
      <c r="E52" s="9" t="s">
        <v>566</v>
      </c>
      <c r="F52" s="85">
        <v>883</v>
      </c>
      <c r="G52" s="79"/>
    </row>
    <row r="53" spans="1:7" ht="25.05" customHeight="1">
      <c r="A53" s="219" t="s">
        <v>437</v>
      </c>
      <c r="B53" s="219"/>
      <c r="C53" s="219"/>
      <c r="D53" s="219"/>
      <c r="E53" s="219"/>
      <c r="F53" s="219"/>
      <c r="G53" s="219"/>
    </row>
    <row r="54" spans="1:7" ht="13.5" customHeight="1"/>
    <row r="55" spans="1:7" ht="13.5" customHeight="1"/>
  </sheetData>
  <autoFilter ref="A3:G53" xr:uid="{00000000-0009-0000-0000-000019000000}"/>
  <mergeCells count="3">
    <mergeCell ref="A1:G1"/>
    <mergeCell ref="A2:G2"/>
    <mergeCell ref="A53:G53"/>
  </mergeCells>
  <phoneticPr fontId="23" type="noConversion"/>
  <pageMargins left="0.59055118110236204" right="0.27559055118110198" top="0.27559055118110198" bottom="0.511811023622047" header="0.27559055118110198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58"/>
  <sheetViews>
    <sheetView view="pageBreakPreview" zoomScale="130" zoomScaleNormal="100" workbookViewId="0">
      <selection activeCell="E5" sqref="E5"/>
    </sheetView>
  </sheetViews>
  <sheetFormatPr defaultColWidth="9" defaultRowHeight="15.75"/>
  <cols>
    <col min="1" max="1" width="3.73046875" style="1" customWidth="1"/>
    <col min="2" max="2" width="9.19921875" style="2" customWidth="1"/>
    <col min="3" max="3" width="13.46484375" style="1" customWidth="1"/>
    <col min="4" max="4" width="11.46484375" style="1" customWidth="1"/>
    <col min="5" max="5" width="44.19921875" style="1" customWidth="1"/>
    <col min="6" max="6" width="7.53125" style="78" customWidth="1"/>
    <col min="7" max="7" width="7.19921875" style="78" customWidth="1"/>
  </cols>
  <sheetData>
    <row r="1" spans="1:7" ht="25.05" customHeight="1">
      <c r="A1" s="215" t="s">
        <v>567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568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87</v>
      </c>
      <c r="D4" s="6" t="s">
        <v>209</v>
      </c>
      <c r="E4" s="8" t="s">
        <v>210</v>
      </c>
      <c r="F4" s="25">
        <v>19</v>
      </c>
      <c r="G4" s="25"/>
    </row>
    <row r="5" spans="1:7" ht="25.05" customHeight="1">
      <c r="A5" s="6">
        <v>2</v>
      </c>
      <c r="B5" s="7" t="s">
        <v>32</v>
      </c>
      <c r="C5" s="6" t="s">
        <v>87</v>
      </c>
      <c r="D5" s="6" t="s">
        <v>209</v>
      </c>
      <c r="E5" s="8" t="s">
        <v>211</v>
      </c>
      <c r="F5" s="25">
        <v>15</v>
      </c>
      <c r="G5" s="25"/>
    </row>
    <row r="6" spans="1:7" ht="25.05" customHeight="1">
      <c r="A6" s="6">
        <v>3</v>
      </c>
      <c r="B6" s="7" t="s">
        <v>32</v>
      </c>
      <c r="C6" s="6" t="s">
        <v>87</v>
      </c>
      <c r="D6" s="6" t="s">
        <v>209</v>
      </c>
      <c r="E6" s="8" t="s">
        <v>212</v>
      </c>
      <c r="F6" s="25">
        <v>34</v>
      </c>
      <c r="G6" s="25"/>
    </row>
    <row r="7" spans="1:7" ht="25.05" customHeight="1">
      <c r="A7" s="6">
        <v>4</v>
      </c>
      <c r="B7" s="7" t="s">
        <v>32</v>
      </c>
      <c r="C7" s="6" t="s">
        <v>87</v>
      </c>
      <c r="D7" s="6" t="s">
        <v>209</v>
      </c>
      <c r="E7" s="8" t="s">
        <v>272</v>
      </c>
      <c r="F7" s="25">
        <v>34</v>
      </c>
      <c r="G7" s="25"/>
    </row>
    <row r="8" spans="1:7" ht="25.05" customHeight="1">
      <c r="A8" s="6">
        <v>5</v>
      </c>
      <c r="B8" s="7" t="s">
        <v>32</v>
      </c>
      <c r="C8" s="6" t="s">
        <v>87</v>
      </c>
      <c r="D8" s="6" t="s">
        <v>209</v>
      </c>
      <c r="E8" s="8" t="s">
        <v>214</v>
      </c>
      <c r="F8" s="25">
        <v>26</v>
      </c>
      <c r="G8" s="25"/>
    </row>
    <row r="9" spans="1:7" ht="25.05" customHeight="1">
      <c r="A9" s="6">
        <v>6</v>
      </c>
      <c r="B9" s="7" t="s">
        <v>32</v>
      </c>
      <c r="C9" s="6" t="s">
        <v>87</v>
      </c>
      <c r="D9" s="6" t="s">
        <v>209</v>
      </c>
      <c r="E9" s="8" t="s">
        <v>312</v>
      </c>
      <c r="F9" s="25">
        <v>10</v>
      </c>
      <c r="G9" s="25"/>
    </row>
    <row r="10" spans="1:7" ht="25.05" customHeight="1">
      <c r="A10" s="6">
        <v>7</v>
      </c>
      <c r="B10" s="7" t="s">
        <v>32</v>
      </c>
      <c r="C10" s="6" t="s">
        <v>87</v>
      </c>
      <c r="D10" s="6" t="s">
        <v>209</v>
      </c>
      <c r="E10" s="8" t="s">
        <v>216</v>
      </c>
      <c r="F10" s="25">
        <v>35</v>
      </c>
      <c r="G10" s="25"/>
    </row>
    <row r="11" spans="1:7" ht="25.05" customHeight="1">
      <c r="A11" s="6">
        <v>8</v>
      </c>
      <c r="B11" s="7" t="s">
        <v>32</v>
      </c>
      <c r="C11" s="6" t="s">
        <v>87</v>
      </c>
      <c r="D11" s="6" t="s">
        <v>209</v>
      </c>
      <c r="E11" s="8" t="s">
        <v>292</v>
      </c>
      <c r="F11" s="25">
        <v>12</v>
      </c>
      <c r="G11" s="25"/>
    </row>
    <row r="12" spans="1:7" ht="25.05" customHeight="1">
      <c r="A12" s="6">
        <v>9</v>
      </c>
      <c r="B12" s="7" t="s">
        <v>32</v>
      </c>
      <c r="C12" s="6" t="s">
        <v>87</v>
      </c>
      <c r="D12" s="6" t="s">
        <v>209</v>
      </c>
      <c r="E12" s="8" t="s">
        <v>217</v>
      </c>
      <c r="F12" s="25">
        <v>55</v>
      </c>
      <c r="G12" s="25"/>
    </row>
    <row r="13" spans="1:7" ht="25.05" customHeight="1">
      <c r="A13" s="6">
        <v>10</v>
      </c>
      <c r="B13" s="7" t="s">
        <v>32</v>
      </c>
      <c r="C13" s="6" t="s">
        <v>87</v>
      </c>
      <c r="D13" s="6" t="s">
        <v>209</v>
      </c>
      <c r="E13" s="8" t="s">
        <v>218</v>
      </c>
      <c r="F13" s="25">
        <v>10</v>
      </c>
      <c r="G13" s="25"/>
    </row>
    <row r="14" spans="1:7" ht="25.05" customHeight="1">
      <c r="A14" s="6">
        <v>10</v>
      </c>
      <c r="B14" s="7" t="s">
        <v>32</v>
      </c>
      <c r="C14" s="6" t="s">
        <v>87</v>
      </c>
      <c r="D14" s="3" t="s">
        <v>219</v>
      </c>
      <c r="E14" s="9" t="s">
        <v>220</v>
      </c>
      <c r="F14" s="79">
        <f>SUM(F4:F13)</f>
        <v>250</v>
      </c>
      <c r="G14" s="79"/>
    </row>
    <row r="15" spans="1:7" ht="25.05" customHeight="1">
      <c r="A15" s="6">
        <v>10</v>
      </c>
      <c r="B15" s="7" t="s">
        <v>32</v>
      </c>
      <c r="C15" s="6" t="s">
        <v>87</v>
      </c>
      <c r="D15" s="6" t="s">
        <v>221</v>
      </c>
      <c r="E15" s="8" t="s">
        <v>222</v>
      </c>
      <c r="F15" s="25">
        <v>14</v>
      </c>
      <c r="G15" s="25"/>
    </row>
    <row r="16" spans="1:7" ht="25.05" customHeight="1">
      <c r="A16" s="6">
        <v>10</v>
      </c>
      <c r="B16" s="7" t="s">
        <v>32</v>
      </c>
      <c r="C16" s="6" t="s">
        <v>87</v>
      </c>
      <c r="D16" s="6" t="s">
        <v>221</v>
      </c>
      <c r="E16" s="8" t="s">
        <v>223</v>
      </c>
      <c r="F16" s="25">
        <v>22</v>
      </c>
      <c r="G16" s="25"/>
    </row>
    <row r="17" spans="1:11" ht="25.05" customHeight="1">
      <c r="A17" s="6">
        <v>10</v>
      </c>
      <c r="B17" s="7" t="s">
        <v>32</v>
      </c>
      <c r="C17" s="6" t="s">
        <v>87</v>
      </c>
      <c r="D17" s="6" t="s">
        <v>221</v>
      </c>
      <c r="E17" s="8" t="s">
        <v>224</v>
      </c>
      <c r="F17" s="25">
        <v>9</v>
      </c>
      <c r="G17" s="25"/>
    </row>
    <row r="18" spans="1:11" ht="25.05" customHeight="1">
      <c r="A18" s="6">
        <v>10</v>
      </c>
      <c r="B18" s="7" t="s">
        <v>32</v>
      </c>
      <c r="C18" s="6" t="s">
        <v>87</v>
      </c>
      <c r="D18" s="6" t="s">
        <v>221</v>
      </c>
      <c r="E18" s="8" t="s">
        <v>225</v>
      </c>
      <c r="F18" s="25">
        <v>20</v>
      </c>
      <c r="G18" s="25"/>
    </row>
    <row r="19" spans="1:11" ht="25.05" customHeight="1">
      <c r="A19" s="6">
        <v>10</v>
      </c>
      <c r="B19" s="7" t="s">
        <v>32</v>
      </c>
      <c r="C19" s="6" t="s">
        <v>87</v>
      </c>
      <c r="D19" s="6" t="s">
        <v>221</v>
      </c>
      <c r="E19" s="8" t="s">
        <v>226</v>
      </c>
      <c r="F19" s="25">
        <v>22</v>
      </c>
      <c r="G19" s="25"/>
    </row>
    <row r="20" spans="1:11" ht="25.05" customHeight="1">
      <c r="A20" s="6">
        <v>10</v>
      </c>
      <c r="B20" s="7" t="s">
        <v>32</v>
      </c>
      <c r="C20" s="6" t="s">
        <v>87</v>
      </c>
      <c r="D20" s="6" t="s">
        <v>221</v>
      </c>
      <c r="E20" s="8" t="s">
        <v>391</v>
      </c>
      <c r="F20" s="25">
        <v>20</v>
      </c>
      <c r="G20" s="25"/>
    </row>
    <row r="21" spans="1:11" ht="25.05" customHeight="1">
      <c r="A21" s="6">
        <v>10</v>
      </c>
      <c r="B21" s="7" t="s">
        <v>32</v>
      </c>
      <c r="C21" s="6" t="s">
        <v>87</v>
      </c>
      <c r="D21" s="6" t="s">
        <v>221</v>
      </c>
      <c r="E21" s="8" t="s">
        <v>380</v>
      </c>
      <c r="F21" s="25">
        <v>12</v>
      </c>
      <c r="G21" s="25"/>
    </row>
    <row r="22" spans="1:11" ht="25.05" customHeight="1">
      <c r="A22" s="6">
        <v>10</v>
      </c>
      <c r="B22" s="7" t="s">
        <v>32</v>
      </c>
      <c r="C22" s="6" t="s">
        <v>87</v>
      </c>
      <c r="D22" s="3" t="s">
        <v>219</v>
      </c>
      <c r="E22" s="9" t="s">
        <v>228</v>
      </c>
      <c r="F22" s="85">
        <f>SUM(F15:F21)</f>
        <v>119</v>
      </c>
      <c r="G22" s="85"/>
    </row>
    <row r="23" spans="1:11" ht="25.05" customHeight="1">
      <c r="A23" s="6">
        <v>10</v>
      </c>
      <c r="B23" s="7" t="s">
        <v>32</v>
      </c>
      <c r="C23" s="6" t="s">
        <v>87</v>
      </c>
      <c r="D23" s="6" t="s">
        <v>229</v>
      </c>
      <c r="E23" s="8" t="s">
        <v>230</v>
      </c>
      <c r="F23" s="25">
        <v>14</v>
      </c>
      <c r="G23" s="25"/>
    </row>
    <row r="24" spans="1:11" ht="25.05" customHeight="1">
      <c r="A24" s="6">
        <v>10</v>
      </c>
      <c r="B24" s="7" t="s">
        <v>32</v>
      </c>
      <c r="C24" s="6" t="s">
        <v>87</v>
      </c>
      <c r="D24" s="6" t="s">
        <v>229</v>
      </c>
      <c r="E24" s="8" t="s">
        <v>231</v>
      </c>
      <c r="F24" s="25">
        <v>32</v>
      </c>
      <c r="G24" s="25"/>
    </row>
    <row r="25" spans="1:11" ht="25.05" customHeight="1">
      <c r="A25" s="6">
        <v>10</v>
      </c>
      <c r="B25" s="7" t="s">
        <v>32</v>
      </c>
      <c r="C25" s="6" t="s">
        <v>87</v>
      </c>
      <c r="D25" s="6" t="s">
        <v>229</v>
      </c>
      <c r="E25" s="8" t="s">
        <v>232</v>
      </c>
      <c r="F25" s="25">
        <v>18</v>
      </c>
      <c r="G25" s="25"/>
    </row>
    <row r="26" spans="1:11" ht="25.05" customHeight="1">
      <c r="A26" s="6">
        <v>10</v>
      </c>
      <c r="B26" s="7" t="s">
        <v>32</v>
      </c>
      <c r="C26" s="6" t="s">
        <v>87</v>
      </c>
      <c r="D26" s="6" t="s">
        <v>229</v>
      </c>
      <c r="E26" s="8" t="s">
        <v>233</v>
      </c>
      <c r="F26" s="25">
        <v>25</v>
      </c>
      <c r="G26" s="25"/>
    </row>
    <row r="27" spans="1:11" ht="25.05" customHeight="1">
      <c r="A27" s="6">
        <v>10</v>
      </c>
      <c r="B27" s="7" t="s">
        <v>32</v>
      </c>
      <c r="C27" s="6" t="s">
        <v>87</v>
      </c>
      <c r="D27" s="6" t="s">
        <v>229</v>
      </c>
      <c r="E27" s="8" t="s">
        <v>234</v>
      </c>
      <c r="F27" s="25">
        <v>19</v>
      </c>
      <c r="G27" s="25"/>
      <c r="K27">
        <v>5</v>
      </c>
    </row>
    <row r="28" spans="1:11" ht="25.05" customHeight="1">
      <c r="A28" s="6">
        <v>10</v>
      </c>
      <c r="B28" s="7" t="s">
        <v>32</v>
      </c>
      <c r="C28" s="6" t="s">
        <v>87</v>
      </c>
      <c r="D28" s="6" t="s">
        <v>229</v>
      </c>
      <c r="E28" s="8" t="s">
        <v>235</v>
      </c>
      <c r="F28" s="25">
        <v>10</v>
      </c>
      <c r="G28" s="25"/>
    </row>
    <row r="29" spans="1:11" ht="25.05" customHeight="1">
      <c r="A29" s="6">
        <v>10</v>
      </c>
      <c r="B29" s="7" t="s">
        <v>32</v>
      </c>
      <c r="C29" s="6" t="s">
        <v>87</v>
      </c>
      <c r="D29" s="6" t="s">
        <v>229</v>
      </c>
      <c r="E29" s="8" t="s">
        <v>237</v>
      </c>
      <c r="F29" s="25">
        <v>8</v>
      </c>
      <c r="G29" s="25"/>
    </row>
    <row r="30" spans="1:11" ht="25.05" customHeight="1">
      <c r="A30" s="6">
        <v>10</v>
      </c>
      <c r="B30" s="7" t="s">
        <v>32</v>
      </c>
      <c r="C30" s="6" t="s">
        <v>87</v>
      </c>
      <c r="D30" s="6" t="s">
        <v>229</v>
      </c>
      <c r="E30" s="8" t="s">
        <v>385</v>
      </c>
      <c r="F30" s="25">
        <v>18</v>
      </c>
      <c r="G30" s="25"/>
    </row>
    <row r="31" spans="1:11" ht="25.05" customHeight="1">
      <c r="A31" s="6">
        <v>10</v>
      </c>
      <c r="B31" s="7" t="s">
        <v>32</v>
      </c>
      <c r="C31" s="6" t="s">
        <v>87</v>
      </c>
      <c r="D31" s="3" t="s">
        <v>219</v>
      </c>
      <c r="E31" s="9" t="s">
        <v>238</v>
      </c>
      <c r="F31" s="85">
        <f>SUM(F23:F30)</f>
        <v>144</v>
      </c>
      <c r="G31" s="79"/>
    </row>
    <row r="32" spans="1:11" ht="25.05" customHeight="1">
      <c r="A32" s="6">
        <v>10</v>
      </c>
      <c r="B32" s="7" t="s">
        <v>32</v>
      </c>
      <c r="C32" s="6" t="s">
        <v>87</v>
      </c>
      <c r="D32" s="6" t="s">
        <v>239</v>
      </c>
      <c r="E32" s="8" t="s">
        <v>240</v>
      </c>
      <c r="F32" s="25">
        <v>70</v>
      </c>
      <c r="G32" s="25"/>
    </row>
    <row r="33" spans="1:7" ht="25.05" customHeight="1">
      <c r="A33" s="6">
        <v>10</v>
      </c>
      <c r="B33" s="7" t="s">
        <v>32</v>
      </c>
      <c r="C33" s="6" t="s">
        <v>87</v>
      </c>
      <c r="D33" s="6" t="s">
        <v>239</v>
      </c>
      <c r="E33" s="8" t="s">
        <v>241</v>
      </c>
      <c r="F33" s="25">
        <v>60</v>
      </c>
      <c r="G33" s="25"/>
    </row>
    <row r="34" spans="1:7" ht="25.05" customHeight="1">
      <c r="A34" s="6">
        <v>10</v>
      </c>
      <c r="B34" s="7" t="s">
        <v>32</v>
      </c>
      <c r="C34" s="6" t="s">
        <v>87</v>
      </c>
      <c r="D34" s="3" t="s">
        <v>219</v>
      </c>
      <c r="E34" s="9" t="s">
        <v>242</v>
      </c>
      <c r="F34" s="85">
        <f>SUM(F32:F33)</f>
        <v>130</v>
      </c>
      <c r="G34" s="79"/>
    </row>
    <row r="35" spans="1:7" ht="25.05" customHeight="1">
      <c r="A35" s="6">
        <v>10</v>
      </c>
      <c r="B35" s="7" t="s">
        <v>32</v>
      </c>
      <c r="C35" s="6" t="s">
        <v>87</v>
      </c>
      <c r="D35" s="6" t="s">
        <v>243</v>
      </c>
      <c r="E35" s="8" t="s">
        <v>349</v>
      </c>
      <c r="F35" s="25">
        <v>8.4</v>
      </c>
      <c r="G35" s="77"/>
    </row>
    <row r="36" spans="1:7" ht="25.05" customHeight="1">
      <c r="A36" s="6">
        <v>10</v>
      </c>
      <c r="B36" s="7" t="s">
        <v>32</v>
      </c>
      <c r="C36" s="6" t="s">
        <v>87</v>
      </c>
      <c r="D36" s="6" t="s">
        <v>243</v>
      </c>
      <c r="E36" s="8" t="s">
        <v>350</v>
      </c>
      <c r="F36" s="25">
        <v>8.4</v>
      </c>
      <c r="G36" s="77"/>
    </row>
    <row r="37" spans="1:7" ht="25.05" customHeight="1">
      <c r="A37" s="6">
        <v>10</v>
      </c>
      <c r="B37" s="7" t="s">
        <v>32</v>
      </c>
      <c r="C37" s="6" t="s">
        <v>87</v>
      </c>
      <c r="D37" s="6" t="s">
        <v>243</v>
      </c>
      <c r="E37" s="8" t="s">
        <v>303</v>
      </c>
      <c r="F37" s="25">
        <v>15.84</v>
      </c>
      <c r="G37" s="77"/>
    </row>
    <row r="38" spans="1:7" ht="25.05" customHeight="1">
      <c r="A38" s="6">
        <v>10</v>
      </c>
      <c r="B38" s="7" t="s">
        <v>32</v>
      </c>
      <c r="C38" s="6" t="s">
        <v>87</v>
      </c>
      <c r="D38" s="6" t="s">
        <v>243</v>
      </c>
      <c r="E38" s="8" t="s">
        <v>247</v>
      </c>
      <c r="F38" s="25">
        <v>2</v>
      </c>
      <c r="G38" s="77"/>
    </row>
    <row r="39" spans="1:7" ht="25.05" customHeight="1">
      <c r="A39" s="6">
        <v>10</v>
      </c>
      <c r="B39" s="7" t="s">
        <v>32</v>
      </c>
      <c r="C39" s="6" t="s">
        <v>87</v>
      </c>
      <c r="D39" s="3" t="s">
        <v>219</v>
      </c>
      <c r="E39" s="9" t="s">
        <v>569</v>
      </c>
      <c r="F39" s="85">
        <f>SUM(F35:F38)</f>
        <v>34.64</v>
      </c>
      <c r="G39" s="79"/>
    </row>
    <row r="40" spans="1:7" ht="25.05" customHeight="1">
      <c r="A40" s="6">
        <v>10</v>
      </c>
      <c r="B40" s="7" t="s">
        <v>32</v>
      </c>
      <c r="C40" s="6" t="s">
        <v>87</v>
      </c>
      <c r="D40" s="6" t="s">
        <v>249</v>
      </c>
      <c r="E40" s="8" t="s">
        <v>366</v>
      </c>
      <c r="F40" s="25">
        <v>10</v>
      </c>
      <c r="G40" s="77"/>
    </row>
    <row r="41" spans="1:7" ht="25.05" customHeight="1">
      <c r="A41" s="6">
        <v>10</v>
      </c>
      <c r="B41" s="7" t="s">
        <v>32</v>
      </c>
      <c r="C41" s="6" t="s">
        <v>87</v>
      </c>
      <c r="D41" s="6" t="s">
        <v>249</v>
      </c>
      <c r="E41" s="8" t="s">
        <v>367</v>
      </c>
      <c r="F41" s="25">
        <v>10</v>
      </c>
      <c r="G41" s="77"/>
    </row>
    <row r="42" spans="1:7" ht="25.05" customHeight="1">
      <c r="A42" s="6">
        <v>10</v>
      </c>
      <c r="B42" s="7" t="s">
        <v>32</v>
      </c>
      <c r="C42" s="6" t="s">
        <v>87</v>
      </c>
      <c r="D42" s="6" t="s">
        <v>249</v>
      </c>
      <c r="E42" s="8" t="s">
        <v>368</v>
      </c>
      <c r="F42" s="25">
        <v>45</v>
      </c>
      <c r="G42" s="77"/>
    </row>
    <row r="43" spans="1:7" ht="25.05" customHeight="1">
      <c r="A43" s="6">
        <v>10</v>
      </c>
      <c r="B43" s="7" t="s">
        <v>32</v>
      </c>
      <c r="C43" s="6" t="s">
        <v>87</v>
      </c>
      <c r="D43" s="6" t="s">
        <v>249</v>
      </c>
      <c r="E43" s="8" t="s">
        <v>369</v>
      </c>
      <c r="F43" s="25">
        <v>10</v>
      </c>
      <c r="G43" s="77"/>
    </row>
    <row r="44" spans="1:7" ht="25.05" customHeight="1">
      <c r="A44" s="6">
        <v>10</v>
      </c>
      <c r="B44" s="7" t="s">
        <v>32</v>
      </c>
      <c r="C44" s="6" t="s">
        <v>87</v>
      </c>
      <c r="D44" s="6" t="s">
        <v>249</v>
      </c>
      <c r="E44" s="8" t="s">
        <v>285</v>
      </c>
      <c r="F44" s="25">
        <v>5</v>
      </c>
      <c r="G44" s="77"/>
    </row>
    <row r="45" spans="1:7" ht="25.05" customHeight="1">
      <c r="A45" s="6">
        <v>10</v>
      </c>
      <c r="B45" s="7" t="s">
        <v>32</v>
      </c>
      <c r="C45" s="6" t="s">
        <v>87</v>
      </c>
      <c r="D45" s="6" t="s">
        <v>249</v>
      </c>
      <c r="E45" s="8" t="s">
        <v>387</v>
      </c>
      <c r="F45" s="25">
        <v>10</v>
      </c>
      <c r="G45" s="77"/>
    </row>
    <row r="46" spans="1:7" ht="25.05" customHeight="1">
      <c r="A46" s="6">
        <v>10</v>
      </c>
      <c r="B46" s="7" t="s">
        <v>32</v>
      </c>
      <c r="C46" s="6" t="s">
        <v>87</v>
      </c>
      <c r="D46" s="3" t="s">
        <v>219</v>
      </c>
      <c r="E46" s="9" t="s">
        <v>570</v>
      </c>
      <c r="F46" s="85">
        <f>SUM(F40:F45)</f>
        <v>90</v>
      </c>
      <c r="G46" s="79"/>
    </row>
    <row r="47" spans="1:7" ht="25.05" customHeight="1">
      <c r="A47" s="6">
        <v>10</v>
      </c>
      <c r="B47" s="7" t="s">
        <v>32</v>
      </c>
      <c r="C47" s="6" t="s">
        <v>87</v>
      </c>
      <c r="D47" s="6" t="s">
        <v>256</v>
      </c>
      <c r="E47" s="11" t="s">
        <v>286</v>
      </c>
      <c r="F47" s="117">
        <v>10</v>
      </c>
      <c r="G47" s="117"/>
    </row>
    <row r="48" spans="1:7" ht="25.05" customHeight="1">
      <c r="A48" s="6">
        <v>10</v>
      </c>
      <c r="B48" s="7" t="s">
        <v>32</v>
      </c>
      <c r="C48" s="6" t="s">
        <v>87</v>
      </c>
      <c r="D48" s="3" t="s">
        <v>219</v>
      </c>
      <c r="E48" s="9" t="s">
        <v>571</v>
      </c>
      <c r="F48" s="85">
        <f>SUM(F47)</f>
        <v>10</v>
      </c>
      <c r="G48" s="79"/>
    </row>
    <row r="49" spans="1:7" ht="25.05" customHeight="1">
      <c r="A49" s="6">
        <v>10</v>
      </c>
      <c r="B49" s="7" t="s">
        <v>32</v>
      </c>
      <c r="C49" s="6" t="s">
        <v>87</v>
      </c>
      <c r="D49" s="6" t="s">
        <v>259</v>
      </c>
      <c r="E49" s="8" t="s">
        <v>276</v>
      </c>
      <c r="F49" s="110">
        <v>10</v>
      </c>
      <c r="G49" s="110"/>
    </row>
    <row r="50" spans="1:7" ht="25.05" customHeight="1">
      <c r="A50" s="6">
        <v>10</v>
      </c>
      <c r="B50" s="7" t="s">
        <v>32</v>
      </c>
      <c r="C50" s="6" t="s">
        <v>87</v>
      </c>
      <c r="D50" s="3" t="s">
        <v>219</v>
      </c>
      <c r="E50" s="9" t="s">
        <v>300</v>
      </c>
      <c r="F50" s="85">
        <f>SUM(F49)</f>
        <v>10</v>
      </c>
      <c r="G50" s="79"/>
    </row>
    <row r="51" spans="1:7" ht="25.05" customHeight="1">
      <c r="A51" s="6">
        <v>10</v>
      </c>
      <c r="B51" s="7" t="s">
        <v>32</v>
      </c>
      <c r="C51" s="6" t="s">
        <v>87</v>
      </c>
      <c r="D51" s="6" t="s">
        <v>262</v>
      </c>
      <c r="E51" s="8" t="s">
        <v>263</v>
      </c>
      <c r="F51" s="25">
        <v>75</v>
      </c>
      <c r="G51" s="77"/>
    </row>
    <row r="52" spans="1:7" ht="25.05" customHeight="1">
      <c r="A52" s="6">
        <v>10</v>
      </c>
      <c r="B52" s="7" t="s">
        <v>32</v>
      </c>
      <c r="C52" s="6" t="s">
        <v>87</v>
      </c>
      <c r="D52" s="6" t="s">
        <v>262</v>
      </c>
      <c r="E52" s="8" t="s">
        <v>264</v>
      </c>
      <c r="F52" s="25">
        <v>40</v>
      </c>
      <c r="G52" s="77"/>
    </row>
    <row r="53" spans="1:7" ht="25.05" customHeight="1">
      <c r="A53" s="6">
        <v>10</v>
      </c>
      <c r="B53" s="7" t="s">
        <v>32</v>
      </c>
      <c r="C53" s="6" t="s">
        <v>87</v>
      </c>
      <c r="D53" s="6" t="s">
        <v>262</v>
      </c>
      <c r="E53" s="8" t="s">
        <v>265</v>
      </c>
      <c r="F53" s="25">
        <v>20</v>
      </c>
      <c r="G53" s="77"/>
    </row>
    <row r="54" spans="1:7" ht="25.05" customHeight="1">
      <c r="A54" s="6">
        <v>10</v>
      </c>
      <c r="B54" s="7" t="s">
        <v>32</v>
      </c>
      <c r="C54" s="6" t="s">
        <v>87</v>
      </c>
      <c r="D54" s="3" t="s">
        <v>219</v>
      </c>
      <c r="E54" s="9" t="s">
        <v>572</v>
      </c>
      <c r="F54" s="85">
        <f>SUM(F51:F53)</f>
        <v>135</v>
      </c>
      <c r="G54" s="79"/>
    </row>
    <row r="55" spans="1:7" ht="25.05" customHeight="1">
      <c r="A55" s="6">
        <v>10</v>
      </c>
      <c r="B55" s="7" t="s">
        <v>32</v>
      </c>
      <c r="C55" s="6" t="s">
        <v>87</v>
      </c>
      <c r="D55" s="3" t="s">
        <v>267</v>
      </c>
      <c r="E55" s="75" t="s">
        <v>573</v>
      </c>
      <c r="F55" s="79">
        <v>923</v>
      </c>
      <c r="G55" s="3"/>
    </row>
    <row r="56" spans="1:7" ht="25.05" customHeight="1">
      <c r="A56" s="219" t="s">
        <v>574</v>
      </c>
      <c r="B56" s="219"/>
      <c r="C56" s="219"/>
      <c r="D56" s="219"/>
      <c r="E56" s="219"/>
      <c r="F56" s="219"/>
      <c r="G56" s="219"/>
    </row>
    <row r="57" spans="1:7" ht="13.5" customHeight="1"/>
    <row r="58" spans="1:7" ht="13.5" customHeight="1"/>
  </sheetData>
  <autoFilter ref="A3:G56" xr:uid="{00000000-0009-0000-0000-00001A000000}"/>
  <mergeCells count="3">
    <mergeCell ref="A1:G1"/>
    <mergeCell ref="A2:G2"/>
    <mergeCell ref="A56:G56"/>
  </mergeCells>
  <phoneticPr fontId="23" type="noConversion"/>
  <pageMargins left="0.59055118110236204" right="0.16" top="0.31496062992126" bottom="0.55118110236220497" header="0.31496062992126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G55"/>
  <sheetViews>
    <sheetView view="pageBreakPreview" zoomScale="130" zoomScaleNormal="100" workbookViewId="0">
      <selection activeCell="E11" sqref="E11"/>
    </sheetView>
  </sheetViews>
  <sheetFormatPr defaultColWidth="9" defaultRowHeight="19.05" customHeight="1"/>
  <cols>
    <col min="1" max="1" width="4.06640625" style="1" customWidth="1"/>
    <col min="2" max="2" width="8.73046875" style="2" customWidth="1"/>
    <col min="3" max="3" width="12.796875" style="1" customWidth="1"/>
    <col min="4" max="4" width="11.265625" style="1" customWidth="1"/>
    <col min="5" max="5" width="45.19921875" style="1" customWidth="1"/>
    <col min="6" max="6" width="6.59765625" style="78" customWidth="1"/>
    <col min="7" max="7" width="7.53125" style="73" customWidth="1"/>
  </cols>
  <sheetData>
    <row r="1" spans="1:7" ht="25.05" customHeight="1">
      <c r="A1" s="215" t="s">
        <v>575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576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8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89</v>
      </c>
      <c r="D4" s="6" t="s">
        <v>209</v>
      </c>
      <c r="E4" s="8" t="s">
        <v>210</v>
      </c>
      <c r="F4" s="25">
        <v>19</v>
      </c>
      <c r="G4" s="6"/>
    </row>
    <row r="5" spans="1:7" ht="25.05" customHeight="1">
      <c r="A5" s="6">
        <v>2</v>
      </c>
      <c r="B5" s="7" t="s">
        <v>23</v>
      </c>
      <c r="C5" s="6" t="s">
        <v>89</v>
      </c>
      <c r="D5" s="6" t="s">
        <v>209</v>
      </c>
      <c r="E5" s="8" t="s">
        <v>211</v>
      </c>
      <c r="F5" s="25">
        <v>15</v>
      </c>
      <c r="G5" s="6"/>
    </row>
    <row r="6" spans="1:7" ht="25.05" customHeight="1">
      <c r="A6" s="6">
        <v>3</v>
      </c>
      <c r="B6" s="7" t="s">
        <v>23</v>
      </c>
      <c r="C6" s="6" t="s">
        <v>89</v>
      </c>
      <c r="D6" s="6" t="s">
        <v>209</v>
      </c>
      <c r="E6" s="8" t="s">
        <v>212</v>
      </c>
      <c r="F6" s="25">
        <v>34</v>
      </c>
      <c r="G6" s="6"/>
    </row>
    <row r="7" spans="1:7" ht="25.05" customHeight="1">
      <c r="A7" s="6">
        <v>4</v>
      </c>
      <c r="B7" s="7" t="s">
        <v>23</v>
      </c>
      <c r="C7" s="6" t="s">
        <v>89</v>
      </c>
      <c r="D7" s="6" t="s">
        <v>209</v>
      </c>
      <c r="E7" s="8" t="s">
        <v>272</v>
      </c>
      <c r="F7" s="25">
        <v>34</v>
      </c>
      <c r="G7" s="6"/>
    </row>
    <row r="8" spans="1:7" ht="25.05" customHeight="1">
      <c r="A8" s="6">
        <v>5</v>
      </c>
      <c r="B8" s="7" t="s">
        <v>23</v>
      </c>
      <c r="C8" s="6" t="s">
        <v>89</v>
      </c>
      <c r="D8" s="6" t="s">
        <v>209</v>
      </c>
      <c r="E8" s="8" t="s">
        <v>214</v>
      </c>
      <c r="F8" s="25">
        <v>26</v>
      </c>
      <c r="G8" s="6"/>
    </row>
    <row r="9" spans="1:7" ht="25.05" customHeight="1">
      <c r="A9" s="6">
        <v>6</v>
      </c>
      <c r="B9" s="7" t="s">
        <v>23</v>
      </c>
      <c r="C9" s="6" t="s">
        <v>89</v>
      </c>
      <c r="D9" s="6" t="s">
        <v>209</v>
      </c>
      <c r="E9" s="8" t="s">
        <v>312</v>
      </c>
      <c r="F9" s="25">
        <v>10</v>
      </c>
      <c r="G9" s="6"/>
    </row>
    <row r="10" spans="1:7" ht="25.05" customHeight="1">
      <c r="A10" s="6">
        <v>7</v>
      </c>
      <c r="B10" s="7" t="s">
        <v>23</v>
      </c>
      <c r="C10" s="6" t="s">
        <v>89</v>
      </c>
      <c r="D10" s="6" t="s">
        <v>209</v>
      </c>
      <c r="E10" s="8" t="s">
        <v>216</v>
      </c>
      <c r="F10" s="25">
        <v>35</v>
      </c>
      <c r="G10" s="6"/>
    </row>
    <row r="11" spans="1:7" ht="25.05" customHeight="1">
      <c r="A11" s="6">
        <v>8</v>
      </c>
      <c r="B11" s="7" t="s">
        <v>23</v>
      </c>
      <c r="C11" s="6" t="s">
        <v>89</v>
      </c>
      <c r="D11" s="6" t="s">
        <v>209</v>
      </c>
      <c r="E11" s="8" t="s">
        <v>292</v>
      </c>
      <c r="F11" s="25">
        <v>12</v>
      </c>
      <c r="G11" s="6"/>
    </row>
    <row r="12" spans="1:7" ht="25.05" customHeight="1">
      <c r="A12" s="6">
        <v>9</v>
      </c>
      <c r="B12" s="7" t="s">
        <v>23</v>
      </c>
      <c r="C12" s="6" t="s">
        <v>89</v>
      </c>
      <c r="D12" s="6" t="s">
        <v>209</v>
      </c>
      <c r="E12" s="8" t="s">
        <v>313</v>
      </c>
      <c r="F12" s="25">
        <v>55</v>
      </c>
      <c r="G12" s="6"/>
    </row>
    <row r="13" spans="1:7" ht="25.05" customHeight="1">
      <c r="A13" s="6">
        <v>10</v>
      </c>
      <c r="B13" s="7" t="s">
        <v>23</v>
      </c>
      <c r="C13" s="6" t="s">
        <v>89</v>
      </c>
      <c r="D13" s="6" t="s">
        <v>209</v>
      </c>
      <c r="E13" s="8" t="s">
        <v>218</v>
      </c>
      <c r="F13" s="25">
        <v>10</v>
      </c>
      <c r="G13" s="6"/>
    </row>
    <row r="14" spans="1:7" ht="25.05" customHeight="1">
      <c r="A14" s="6">
        <v>11</v>
      </c>
      <c r="B14" s="7" t="s">
        <v>23</v>
      </c>
      <c r="C14" s="6" t="s">
        <v>89</v>
      </c>
      <c r="D14" s="3" t="s">
        <v>219</v>
      </c>
      <c r="E14" s="9" t="s">
        <v>220</v>
      </c>
      <c r="F14" s="79">
        <f>SUM(F4:F13)</f>
        <v>250</v>
      </c>
      <c r="G14" s="3"/>
    </row>
    <row r="15" spans="1:7" ht="25.05" customHeight="1">
      <c r="A15" s="6">
        <v>12</v>
      </c>
      <c r="B15" s="7" t="s">
        <v>23</v>
      </c>
      <c r="C15" s="6" t="s">
        <v>89</v>
      </c>
      <c r="D15" s="6" t="s">
        <v>221</v>
      </c>
      <c r="E15" s="8" t="s">
        <v>222</v>
      </c>
      <c r="F15" s="25">
        <v>14</v>
      </c>
      <c r="G15" s="6"/>
    </row>
    <row r="16" spans="1:7" ht="25.05" customHeight="1">
      <c r="A16" s="6">
        <v>13</v>
      </c>
      <c r="B16" s="7" t="s">
        <v>23</v>
      </c>
      <c r="C16" s="6" t="s">
        <v>89</v>
      </c>
      <c r="D16" s="6" t="s">
        <v>221</v>
      </c>
      <c r="E16" s="8" t="s">
        <v>223</v>
      </c>
      <c r="F16" s="25">
        <v>22</v>
      </c>
      <c r="G16" s="6"/>
    </row>
    <row r="17" spans="1:7" ht="25.05" customHeight="1">
      <c r="A17" s="6">
        <v>14</v>
      </c>
      <c r="B17" s="7" t="s">
        <v>23</v>
      </c>
      <c r="C17" s="6" t="s">
        <v>89</v>
      </c>
      <c r="D17" s="6" t="s">
        <v>221</v>
      </c>
      <c r="E17" s="8" t="s">
        <v>224</v>
      </c>
      <c r="F17" s="25">
        <v>9</v>
      </c>
      <c r="G17" s="6"/>
    </row>
    <row r="18" spans="1:7" ht="25.05" customHeight="1">
      <c r="A18" s="6">
        <v>15</v>
      </c>
      <c r="B18" s="7" t="s">
        <v>23</v>
      </c>
      <c r="C18" s="6" t="s">
        <v>89</v>
      </c>
      <c r="D18" s="6" t="s">
        <v>221</v>
      </c>
      <c r="E18" s="8" t="s">
        <v>225</v>
      </c>
      <c r="F18" s="25">
        <v>20</v>
      </c>
      <c r="G18" s="6"/>
    </row>
    <row r="19" spans="1:7" ht="25.05" customHeight="1">
      <c r="A19" s="6">
        <v>16</v>
      </c>
      <c r="B19" s="7" t="s">
        <v>23</v>
      </c>
      <c r="C19" s="6" t="s">
        <v>89</v>
      </c>
      <c r="D19" s="6" t="s">
        <v>221</v>
      </c>
      <c r="E19" s="8" t="s">
        <v>294</v>
      </c>
      <c r="F19" s="25">
        <v>22</v>
      </c>
      <c r="G19" s="6"/>
    </row>
    <row r="20" spans="1:7" ht="25.05" customHeight="1">
      <c r="A20" s="6">
        <v>17</v>
      </c>
      <c r="B20" s="7" t="s">
        <v>23</v>
      </c>
      <c r="C20" s="6" t="s">
        <v>89</v>
      </c>
      <c r="D20" s="6" t="s">
        <v>221</v>
      </c>
      <c r="E20" s="8" t="s">
        <v>227</v>
      </c>
      <c r="F20" s="25">
        <v>20</v>
      </c>
      <c r="G20" s="6"/>
    </row>
    <row r="21" spans="1:7" ht="25.05" customHeight="1">
      <c r="A21" s="6">
        <v>18</v>
      </c>
      <c r="B21" s="7" t="s">
        <v>23</v>
      </c>
      <c r="C21" s="6" t="s">
        <v>89</v>
      </c>
      <c r="D21" s="6" t="s">
        <v>221</v>
      </c>
      <c r="E21" s="8" t="s">
        <v>380</v>
      </c>
      <c r="F21" s="25">
        <v>12</v>
      </c>
      <c r="G21" s="6"/>
    </row>
    <row r="22" spans="1:7" ht="25.05" customHeight="1">
      <c r="A22" s="6">
        <v>19</v>
      </c>
      <c r="B22" s="7" t="s">
        <v>23</v>
      </c>
      <c r="C22" s="6" t="s">
        <v>89</v>
      </c>
      <c r="D22" s="3" t="s">
        <v>219</v>
      </c>
      <c r="E22" s="9" t="s">
        <v>228</v>
      </c>
      <c r="F22" s="79">
        <f>SUM(F15:F21)</f>
        <v>119</v>
      </c>
      <c r="G22" s="3"/>
    </row>
    <row r="23" spans="1:7" ht="25.05" customHeight="1">
      <c r="A23" s="6">
        <v>20</v>
      </c>
      <c r="B23" s="7" t="s">
        <v>23</v>
      </c>
      <c r="C23" s="6" t="s">
        <v>89</v>
      </c>
      <c r="D23" s="6" t="s">
        <v>229</v>
      </c>
      <c r="E23" s="8" t="s">
        <v>230</v>
      </c>
      <c r="F23" s="25">
        <v>14</v>
      </c>
      <c r="G23" s="6"/>
    </row>
    <row r="24" spans="1:7" ht="25.05" customHeight="1">
      <c r="A24" s="6">
        <v>21</v>
      </c>
      <c r="B24" s="7" t="s">
        <v>23</v>
      </c>
      <c r="C24" s="6" t="s">
        <v>89</v>
      </c>
      <c r="D24" s="6" t="s">
        <v>229</v>
      </c>
      <c r="E24" s="8" t="s">
        <v>231</v>
      </c>
      <c r="F24" s="25">
        <v>32</v>
      </c>
      <c r="G24" s="6"/>
    </row>
    <row r="25" spans="1:7" ht="25.05" customHeight="1">
      <c r="A25" s="6">
        <v>22</v>
      </c>
      <c r="B25" s="7" t="s">
        <v>23</v>
      </c>
      <c r="C25" s="6" t="s">
        <v>89</v>
      </c>
      <c r="D25" s="6" t="s">
        <v>229</v>
      </c>
      <c r="E25" s="8" t="s">
        <v>232</v>
      </c>
      <c r="F25" s="25">
        <v>18</v>
      </c>
      <c r="G25" s="6"/>
    </row>
    <row r="26" spans="1:7" ht="25.05" customHeight="1">
      <c r="A26" s="6">
        <v>23</v>
      </c>
      <c r="B26" s="7" t="s">
        <v>23</v>
      </c>
      <c r="C26" s="6" t="s">
        <v>89</v>
      </c>
      <c r="D26" s="6" t="s">
        <v>229</v>
      </c>
      <c r="E26" s="8" t="s">
        <v>315</v>
      </c>
      <c r="F26" s="25">
        <v>25</v>
      </c>
      <c r="G26" s="6"/>
    </row>
    <row r="27" spans="1:7" ht="25.05" customHeight="1">
      <c r="A27" s="6">
        <v>24</v>
      </c>
      <c r="B27" s="7" t="s">
        <v>23</v>
      </c>
      <c r="C27" s="6" t="s">
        <v>89</v>
      </c>
      <c r="D27" s="6" t="s">
        <v>229</v>
      </c>
      <c r="E27" s="8" t="s">
        <v>237</v>
      </c>
      <c r="F27" s="25">
        <v>8</v>
      </c>
      <c r="G27" s="6"/>
    </row>
    <row r="28" spans="1:7" ht="25.05" customHeight="1">
      <c r="A28" s="6">
        <v>25</v>
      </c>
      <c r="B28" s="7" t="s">
        <v>23</v>
      </c>
      <c r="C28" s="6" t="s">
        <v>89</v>
      </c>
      <c r="D28" s="6" t="s">
        <v>229</v>
      </c>
      <c r="E28" s="8" t="s">
        <v>235</v>
      </c>
      <c r="F28" s="25">
        <v>10</v>
      </c>
      <c r="G28" s="6"/>
    </row>
    <row r="29" spans="1:7" ht="25.05" customHeight="1">
      <c r="A29" s="6">
        <v>26</v>
      </c>
      <c r="B29" s="7" t="s">
        <v>23</v>
      </c>
      <c r="C29" s="6" t="s">
        <v>89</v>
      </c>
      <c r="D29" s="6" t="s">
        <v>229</v>
      </c>
      <c r="E29" s="8" t="s">
        <v>551</v>
      </c>
      <c r="F29" s="25">
        <v>20</v>
      </c>
      <c r="G29" s="6"/>
    </row>
    <row r="30" spans="1:7" ht="25.05" customHeight="1">
      <c r="A30" s="6">
        <v>27</v>
      </c>
      <c r="B30" s="7" t="s">
        <v>23</v>
      </c>
      <c r="C30" s="6" t="s">
        <v>89</v>
      </c>
      <c r="D30" s="6" t="s">
        <v>229</v>
      </c>
      <c r="E30" s="81" t="s">
        <v>552</v>
      </c>
      <c r="F30" s="25">
        <v>18</v>
      </c>
      <c r="G30" s="6"/>
    </row>
    <row r="31" spans="1:7" ht="25.05" customHeight="1">
      <c r="A31" s="6">
        <v>28</v>
      </c>
      <c r="B31" s="7" t="s">
        <v>23</v>
      </c>
      <c r="C31" s="6" t="s">
        <v>89</v>
      </c>
      <c r="D31" s="3" t="s">
        <v>219</v>
      </c>
      <c r="E31" s="9" t="s">
        <v>238</v>
      </c>
      <c r="F31" s="79">
        <f>SUM(F23:F30)</f>
        <v>145</v>
      </c>
      <c r="G31" s="3"/>
    </row>
    <row r="32" spans="1:7" ht="25.05" customHeight="1">
      <c r="A32" s="6">
        <v>29</v>
      </c>
      <c r="B32" s="7" t="s">
        <v>23</v>
      </c>
      <c r="C32" s="6" t="s">
        <v>89</v>
      </c>
      <c r="D32" s="6" t="s">
        <v>239</v>
      </c>
      <c r="E32" s="8" t="s">
        <v>240</v>
      </c>
      <c r="F32" s="25">
        <v>70</v>
      </c>
      <c r="G32" s="6"/>
    </row>
    <row r="33" spans="1:7" ht="25.05" customHeight="1">
      <c r="A33" s="6">
        <v>30</v>
      </c>
      <c r="B33" s="7" t="s">
        <v>23</v>
      </c>
      <c r="C33" s="6" t="s">
        <v>89</v>
      </c>
      <c r="D33" s="6" t="s">
        <v>239</v>
      </c>
      <c r="E33" s="8" t="s">
        <v>241</v>
      </c>
      <c r="F33" s="25">
        <v>60</v>
      </c>
      <c r="G33" s="6"/>
    </row>
    <row r="34" spans="1:7" ht="25.05" customHeight="1">
      <c r="A34" s="6">
        <v>31</v>
      </c>
      <c r="B34" s="7" t="s">
        <v>23</v>
      </c>
      <c r="C34" s="6" t="s">
        <v>89</v>
      </c>
      <c r="D34" s="3" t="s">
        <v>219</v>
      </c>
      <c r="E34" s="9" t="s">
        <v>242</v>
      </c>
      <c r="F34" s="79">
        <f>SUM(F32:F33)</f>
        <v>130</v>
      </c>
      <c r="G34" s="3"/>
    </row>
    <row r="35" spans="1:7" ht="25.05" customHeight="1">
      <c r="A35" s="6">
        <v>32</v>
      </c>
      <c r="B35" s="7" t="s">
        <v>23</v>
      </c>
      <c r="C35" s="6" t="s">
        <v>89</v>
      </c>
      <c r="D35" s="6" t="s">
        <v>243</v>
      </c>
      <c r="E35" s="8" t="s">
        <v>319</v>
      </c>
      <c r="F35" s="25">
        <v>6</v>
      </c>
      <c r="G35" s="6"/>
    </row>
    <row r="36" spans="1:7" ht="25.05" customHeight="1">
      <c r="A36" s="6">
        <v>33</v>
      </c>
      <c r="B36" s="7" t="s">
        <v>23</v>
      </c>
      <c r="C36" s="6" t="s">
        <v>89</v>
      </c>
      <c r="D36" s="6" t="s">
        <v>243</v>
      </c>
      <c r="E36" s="8" t="s">
        <v>320</v>
      </c>
      <c r="F36" s="25">
        <v>6</v>
      </c>
      <c r="G36" s="6"/>
    </row>
    <row r="37" spans="1:7" ht="25.05" customHeight="1">
      <c r="A37" s="6">
        <v>34</v>
      </c>
      <c r="B37" s="7" t="s">
        <v>23</v>
      </c>
      <c r="C37" s="6" t="s">
        <v>89</v>
      </c>
      <c r="D37" s="6" t="s">
        <v>243</v>
      </c>
      <c r="E37" s="8" t="s">
        <v>321</v>
      </c>
      <c r="F37" s="25">
        <v>10.56</v>
      </c>
      <c r="G37" s="6"/>
    </row>
    <row r="38" spans="1:7" ht="25.05" customHeight="1">
      <c r="A38" s="6">
        <v>35</v>
      </c>
      <c r="B38" s="7" t="s">
        <v>23</v>
      </c>
      <c r="C38" s="6" t="s">
        <v>89</v>
      </c>
      <c r="D38" s="6" t="s">
        <v>243</v>
      </c>
      <c r="E38" s="8" t="s">
        <v>247</v>
      </c>
      <c r="F38" s="25">
        <v>2</v>
      </c>
      <c r="G38" s="6"/>
    </row>
    <row r="39" spans="1:7" ht="25.05" customHeight="1">
      <c r="A39" s="6">
        <v>36</v>
      </c>
      <c r="B39" s="7" t="s">
        <v>23</v>
      </c>
      <c r="C39" s="6" t="s">
        <v>89</v>
      </c>
      <c r="D39" s="3" t="s">
        <v>219</v>
      </c>
      <c r="E39" s="9" t="s">
        <v>248</v>
      </c>
      <c r="F39" s="79">
        <f>SUM(F35:F38)</f>
        <v>24.56</v>
      </c>
      <c r="G39" s="3"/>
    </row>
    <row r="40" spans="1:7" ht="25.05" customHeight="1">
      <c r="A40" s="6">
        <v>37</v>
      </c>
      <c r="B40" s="7" t="s">
        <v>23</v>
      </c>
      <c r="C40" s="6" t="s">
        <v>89</v>
      </c>
      <c r="D40" s="6" t="s">
        <v>249</v>
      </c>
      <c r="E40" s="8" t="s">
        <v>304</v>
      </c>
      <c r="F40" s="25">
        <v>7</v>
      </c>
      <c r="G40" s="6"/>
    </row>
    <row r="41" spans="1:7" ht="25.05" customHeight="1">
      <c r="A41" s="6">
        <v>38</v>
      </c>
      <c r="B41" s="7" t="s">
        <v>23</v>
      </c>
      <c r="C41" s="6" t="s">
        <v>89</v>
      </c>
      <c r="D41" s="6" t="s">
        <v>249</v>
      </c>
      <c r="E41" s="8" t="s">
        <v>251</v>
      </c>
      <c r="F41" s="25">
        <v>7</v>
      </c>
      <c r="G41" s="6"/>
    </row>
    <row r="42" spans="1:7" ht="25.05" customHeight="1">
      <c r="A42" s="6">
        <v>39</v>
      </c>
      <c r="B42" s="7" t="s">
        <v>23</v>
      </c>
      <c r="C42" s="6" t="s">
        <v>89</v>
      </c>
      <c r="D42" s="6" t="s">
        <v>249</v>
      </c>
      <c r="E42" s="8" t="s">
        <v>252</v>
      </c>
      <c r="F42" s="25">
        <v>31.5</v>
      </c>
      <c r="G42" s="6"/>
    </row>
    <row r="43" spans="1:7" ht="25.05" customHeight="1">
      <c r="A43" s="6">
        <v>40</v>
      </c>
      <c r="B43" s="7" t="s">
        <v>23</v>
      </c>
      <c r="C43" s="6" t="s">
        <v>89</v>
      </c>
      <c r="D43" s="6" t="s">
        <v>249</v>
      </c>
      <c r="E43" s="8" t="s">
        <v>253</v>
      </c>
      <c r="F43" s="25">
        <v>7</v>
      </c>
      <c r="G43" s="6"/>
    </row>
    <row r="44" spans="1:7" ht="25.05" customHeight="1">
      <c r="A44" s="6">
        <v>41</v>
      </c>
      <c r="B44" s="7" t="s">
        <v>23</v>
      </c>
      <c r="C44" s="6" t="s">
        <v>89</v>
      </c>
      <c r="D44" s="6" t="s">
        <v>249</v>
      </c>
      <c r="E44" s="8" t="s">
        <v>336</v>
      </c>
      <c r="F44" s="25">
        <v>3</v>
      </c>
      <c r="G44" s="6"/>
    </row>
    <row r="45" spans="1:7" ht="25.05" customHeight="1">
      <c r="A45" s="6">
        <v>42</v>
      </c>
      <c r="B45" s="7" t="s">
        <v>23</v>
      </c>
      <c r="C45" s="6" t="s">
        <v>89</v>
      </c>
      <c r="D45" s="6" t="s">
        <v>249</v>
      </c>
      <c r="E45" s="8" t="s">
        <v>387</v>
      </c>
      <c r="F45" s="25">
        <v>10</v>
      </c>
      <c r="G45" s="6"/>
    </row>
    <row r="46" spans="1:7" ht="25.05" customHeight="1">
      <c r="A46" s="6">
        <v>43</v>
      </c>
      <c r="B46" s="7" t="s">
        <v>23</v>
      </c>
      <c r="C46" s="6" t="s">
        <v>89</v>
      </c>
      <c r="D46" s="3" t="s">
        <v>219</v>
      </c>
      <c r="E46" s="9" t="s">
        <v>255</v>
      </c>
      <c r="F46" s="79">
        <f>SUM(F40:F45)</f>
        <v>65.5</v>
      </c>
      <c r="G46" s="3"/>
    </row>
    <row r="47" spans="1:7" ht="25.05" customHeight="1">
      <c r="A47" s="6">
        <v>44</v>
      </c>
      <c r="B47" s="7" t="s">
        <v>23</v>
      </c>
      <c r="C47" s="6" t="s">
        <v>89</v>
      </c>
      <c r="D47" s="6" t="s">
        <v>259</v>
      </c>
      <c r="E47" s="8" t="s">
        <v>317</v>
      </c>
      <c r="F47" s="25">
        <v>10</v>
      </c>
      <c r="G47" s="116"/>
    </row>
    <row r="48" spans="1:7" ht="25.05" customHeight="1">
      <c r="A48" s="6">
        <v>45</v>
      </c>
      <c r="B48" s="7" t="s">
        <v>23</v>
      </c>
      <c r="C48" s="6" t="s">
        <v>89</v>
      </c>
      <c r="D48" s="6" t="s">
        <v>259</v>
      </c>
      <c r="E48" s="8" t="s">
        <v>318</v>
      </c>
      <c r="F48" s="25">
        <v>5</v>
      </c>
      <c r="G48" s="116"/>
    </row>
    <row r="49" spans="1:7" ht="25.05" customHeight="1">
      <c r="A49" s="6">
        <v>46</v>
      </c>
      <c r="B49" s="7" t="s">
        <v>23</v>
      </c>
      <c r="C49" s="6" t="s">
        <v>89</v>
      </c>
      <c r="D49" s="3" t="s">
        <v>219</v>
      </c>
      <c r="E49" s="9" t="s">
        <v>261</v>
      </c>
      <c r="F49" s="79">
        <f>SUM(F47:F48)</f>
        <v>15</v>
      </c>
      <c r="G49" s="3"/>
    </row>
    <row r="50" spans="1:7" ht="25.05" customHeight="1">
      <c r="A50" s="6">
        <v>47</v>
      </c>
      <c r="B50" s="7" t="s">
        <v>23</v>
      </c>
      <c r="C50" s="6" t="s">
        <v>89</v>
      </c>
      <c r="D50" s="6" t="s">
        <v>262</v>
      </c>
      <c r="E50" s="8" t="s">
        <v>263</v>
      </c>
      <c r="F50" s="25">
        <v>75</v>
      </c>
      <c r="G50" s="6"/>
    </row>
    <row r="51" spans="1:7" ht="25.05" customHeight="1">
      <c r="A51" s="6">
        <v>48</v>
      </c>
      <c r="B51" s="7" t="s">
        <v>23</v>
      </c>
      <c r="C51" s="6" t="s">
        <v>89</v>
      </c>
      <c r="D51" s="6" t="s">
        <v>262</v>
      </c>
      <c r="E51" s="8" t="s">
        <v>316</v>
      </c>
      <c r="F51" s="25">
        <v>40</v>
      </c>
      <c r="G51" s="6"/>
    </row>
    <row r="52" spans="1:7" ht="25.05" customHeight="1">
      <c r="A52" s="6">
        <v>49</v>
      </c>
      <c r="B52" s="7" t="s">
        <v>23</v>
      </c>
      <c r="C52" s="6" t="s">
        <v>89</v>
      </c>
      <c r="D52" s="6" t="s">
        <v>262</v>
      </c>
      <c r="E52" s="8" t="s">
        <v>265</v>
      </c>
      <c r="F52" s="25">
        <v>20</v>
      </c>
      <c r="G52" s="6"/>
    </row>
    <row r="53" spans="1:7" ht="25.05" customHeight="1">
      <c r="A53" s="6">
        <v>50</v>
      </c>
      <c r="B53" s="7" t="s">
        <v>23</v>
      </c>
      <c r="C53" s="6" t="s">
        <v>89</v>
      </c>
      <c r="D53" s="3" t="s">
        <v>219</v>
      </c>
      <c r="E53" s="9" t="s">
        <v>266</v>
      </c>
      <c r="F53" s="79">
        <f>SUM(F50:F52)</f>
        <v>135</v>
      </c>
      <c r="G53" s="3"/>
    </row>
    <row r="54" spans="1:7" ht="25.05" customHeight="1">
      <c r="A54" s="6">
        <v>51</v>
      </c>
      <c r="B54" s="7" t="s">
        <v>23</v>
      </c>
      <c r="C54" s="6" t="s">
        <v>89</v>
      </c>
      <c r="D54" s="3" t="s">
        <v>267</v>
      </c>
      <c r="E54" s="10" t="s">
        <v>577</v>
      </c>
      <c r="F54" s="85">
        <v>884</v>
      </c>
      <c r="G54" s="5"/>
    </row>
    <row r="55" spans="1:7" ht="25.05" customHeight="1">
      <c r="A55" s="219" t="s">
        <v>437</v>
      </c>
      <c r="B55" s="219"/>
      <c r="C55" s="219"/>
      <c r="D55" s="219"/>
      <c r="E55" s="219"/>
      <c r="F55" s="219"/>
      <c r="G55" s="219"/>
    </row>
  </sheetData>
  <autoFilter ref="A3:G55" xr:uid="{00000000-0009-0000-0000-00001B000000}"/>
  <mergeCells count="3">
    <mergeCell ref="A1:G1"/>
    <mergeCell ref="A2:G2"/>
    <mergeCell ref="A55:G55"/>
  </mergeCells>
  <phoneticPr fontId="23" type="noConversion"/>
  <pageMargins left="0.59055118110236204" right="0.196850393700787" top="0.23" bottom="0.47244094488188998" header="0.23622047244094499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G51"/>
  <sheetViews>
    <sheetView view="pageBreakPreview" zoomScale="115" zoomScaleNormal="100" workbookViewId="0">
      <selection activeCell="E8" sqref="E8"/>
    </sheetView>
  </sheetViews>
  <sheetFormatPr defaultColWidth="9" defaultRowHeight="19.05" customHeight="1"/>
  <cols>
    <col min="1" max="1" width="4.06640625" style="73" customWidth="1"/>
    <col min="2" max="2" width="7.265625" style="74" customWidth="1"/>
    <col min="3" max="3" width="18" style="73" customWidth="1"/>
    <col min="4" max="4" width="10.73046875" style="73" customWidth="1"/>
    <col min="5" max="5" width="43.19921875" style="1" customWidth="1"/>
    <col min="6" max="6" width="6.46484375" style="1" customWidth="1"/>
    <col min="7" max="7" width="7.59765625" style="1" customWidth="1"/>
  </cols>
  <sheetData>
    <row r="1" spans="1:7" ht="25.05" customHeight="1">
      <c r="A1" s="215" t="s">
        <v>578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579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580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23</v>
      </c>
      <c r="C5" s="6" t="s">
        <v>580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23</v>
      </c>
      <c r="C6" s="6" t="s">
        <v>580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23</v>
      </c>
      <c r="C7" s="6" t="s">
        <v>580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23</v>
      </c>
      <c r="C8" s="6" t="s">
        <v>580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23</v>
      </c>
      <c r="C9" s="6" t="s">
        <v>580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23</v>
      </c>
      <c r="C10" s="6" t="s">
        <v>580</v>
      </c>
      <c r="D10" s="6" t="s">
        <v>209</v>
      </c>
      <c r="E10" s="8" t="s">
        <v>216</v>
      </c>
      <c r="F10" s="8">
        <v>35</v>
      </c>
      <c r="G10" s="8"/>
    </row>
    <row r="11" spans="1:7" ht="25.05" customHeight="1">
      <c r="A11" s="6">
        <v>8</v>
      </c>
      <c r="B11" s="7" t="s">
        <v>23</v>
      </c>
      <c r="C11" s="6" t="s">
        <v>580</v>
      </c>
      <c r="D11" s="6" t="s">
        <v>209</v>
      </c>
      <c r="E11" s="8" t="s">
        <v>292</v>
      </c>
      <c r="F11" s="8">
        <v>18</v>
      </c>
      <c r="G11" s="8"/>
    </row>
    <row r="12" spans="1:7" ht="25.05" customHeight="1">
      <c r="A12" s="6">
        <v>9</v>
      </c>
      <c r="B12" s="7" t="s">
        <v>23</v>
      </c>
      <c r="C12" s="6" t="s">
        <v>580</v>
      </c>
      <c r="D12" s="6" t="s">
        <v>209</v>
      </c>
      <c r="E12" s="8" t="s">
        <v>313</v>
      </c>
      <c r="F12" s="8">
        <v>55</v>
      </c>
      <c r="G12" s="8"/>
    </row>
    <row r="13" spans="1:7" ht="25.05" customHeight="1">
      <c r="A13" s="6">
        <v>10</v>
      </c>
      <c r="B13" s="7" t="s">
        <v>23</v>
      </c>
      <c r="C13" s="6" t="s">
        <v>580</v>
      </c>
      <c r="D13" s="6" t="s">
        <v>209</v>
      </c>
      <c r="E13" s="8" t="s">
        <v>218</v>
      </c>
      <c r="F13" s="8">
        <v>10</v>
      </c>
      <c r="G13" s="8"/>
    </row>
    <row r="14" spans="1:7" ht="25.05" customHeight="1">
      <c r="A14" s="6">
        <v>11</v>
      </c>
      <c r="B14" s="7" t="s">
        <v>23</v>
      </c>
      <c r="C14" s="6" t="s">
        <v>580</v>
      </c>
      <c r="D14" s="3" t="s">
        <v>219</v>
      </c>
      <c r="E14" s="9" t="s">
        <v>220</v>
      </c>
      <c r="F14" s="9">
        <f>SUM(F4:F13)</f>
        <v>256</v>
      </c>
      <c r="G14" s="9"/>
    </row>
    <row r="15" spans="1:7" ht="25.05" customHeight="1">
      <c r="A15" s="6">
        <v>12</v>
      </c>
      <c r="B15" s="7" t="s">
        <v>23</v>
      </c>
      <c r="C15" s="6" t="s">
        <v>580</v>
      </c>
      <c r="D15" s="6" t="s">
        <v>221</v>
      </c>
      <c r="E15" s="8" t="s">
        <v>581</v>
      </c>
      <c r="F15" s="8">
        <v>14</v>
      </c>
      <c r="G15" s="8"/>
    </row>
    <row r="16" spans="1:7" ht="25.05" customHeight="1">
      <c r="A16" s="6">
        <v>13</v>
      </c>
      <c r="B16" s="7" t="s">
        <v>23</v>
      </c>
      <c r="C16" s="6" t="s">
        <v>580</v>
      </c>
      <c r="D16" s="6" t="s">
        <v>221</v>
      </c>
      <c r="E16" s="8" t="s">
        <v>410</v>
      </c>
      <c r="F16" s="8">
        <v>42</v>
      </c>
      <c r="G16" s="8"/>
    </row>
    <row r="17" spans="1:7" ht="25.05" customHeight="1">
      <c r="A17" s="6">
        <v>14</v>
      </c>
      <c r="B17" s="7" t="s">
        <v>23</v>
      </c>
      <c r="C17" s="6" t="s">
        <v>580</v>
      </c>
      <c r="D17" s="6" t="s">
        <v>221</v>
      </c>
      <c r="E17" s="8" t="s">
        <v>224</v>
      </c>
      <c r="F17" s="8">
        <v>10</v>
      </c>
      <c r="G17" s="8"/>
    </row>
    <row r="18" spans="1:7" ht="25.05" customHeight="1">
      <c r="A18" s="6">
        <v>15</v>
      </c>
      <c r="B18" s="7" t="s">
        <v>23</v>
      </c>
      <c r="C18" s="6" t="s">
        <v>580</v>
      </c>
      <c r="D18" s="6" t="s">
        <v>221</v>
      </c>
      <c r="E18" s="8" t="s">
        <v>582</v>
      </c>
      <c r="F18" s="8">
        <v>20</v>
      </c>
      <c r="G18" s="8"/>
    </row>
    <row r="19" spans="1:7" ht="25.05" customHeight="1">
      <c r="A19" s="6">
        <v>16</v>
      </c>
      <c r="B19" s="7" t="s">
        <v>23</v>
      </c>
      <c r="C19" s="6" t="s">
        <v>580</v>
      </c>
      <c r="D19" s="6" t="s">
        <v>221</v>
      </c>
      <c r="E19" s="8" t="s">
        <v>294</v>
      </c>
      <c r="F19" s="8">
        <v>22</v>
      </c>
      <c r="G19" s="8"/>
    </row>
    <row r="20" spans="1:7" ht="25.05" customHeight="1">
      <c r="A20" s="6">
        <v>17</v>
      </c>
      <c r="B20" s="7" t="s">
        <v>23</v>
      </c>
      <c r="C20" s="6" t="s">
        <v>580</v>
      </c>
      <c r="D20" s="6" t="s">
        <v>221</v>
      </c>
      <c r="E20" s="8" t="s">
        <v>227</v>
      </c>
      <c r="F20" s="8">
        <v>20</v>
      </c>
      <c r="G20" s="8"/>
    </row>
    <row r="21" spans="1:7" ht="25.05" customHeight="1">
      <c r="A21" s="6">
        <v>18</v>
      </c>
      <c r="B21" s="7" t="s">
        <v>23</v>
      </c>
      <c r="C21" s="6" t="s">
        <v>580</v>
      </c>
      <c r="D21" s="3" t="s">
        <v>219</v>
      </c>
      <c r="E21" s="9" t="s">
        <v>228</v>
      </c>
      <c r="F21" s="9">
        <f>SUM(F15:F20)</f>
        <v>128</v>
      </c>
      <c r="G21" s="9"/>
    </row>
    <row r="22" spans="1:7" ht="25.05" customHeight="1">
      <c r="A22" s="6">
        <v>19</v>
      </c>
      <c r="B22" s="7" t="s">
        <v>23</v>
      </c>
      <c r="C22" s="6" t="s">
        <v>580</v>
      </c>
      <c r="D22" s="6" t="s">
        <v>229</v>
      </c>
      <c r="E22" s="8" t="s">
        <v>583</v>
      </c>
      <c r="F22" s="8">
        <v>14</v>
      </c>
      <c r="G22" s="8"/>
    </row>
    <row r="23" spans="1:7" ht="25.05" customHeight="1">
      <c r="A23" s="6">
        <v>20</v>
      </c>
      <c r="B23" s="7" t="s">
        <v>23</v>
      </c>
      <c r="C23" s="6" t="s">
        <v>580</v>
      </c>
      <c r="D23" s="6" t="s">
        <v>229</v>
      </c>
      <c r="E23" s="8" t="s">
        <v>411</v>
      </c>
      <c r="F23" s="8">
        <v>52</v>
      </c>
      <c r="G23" s="8"/>
    </row>
    <row r="24" spans="1:7" ht="25.05" customHeight="1">
      <c r="A24" s="6">
        <v>21</v>
      </c>
      <c r="B24" s="7" t="s">
        <v>23</v>
      </c>
      <c r="C24" s="6" t="s">
        <v>580</v>
      </c>
      <c r="D24" s="6" t="s">
        <v>229</v>
      </c>
      <c r="E24" s="8" t="s">
        <v>232</v>
      </c>
      <c r="F24" s="8">
        <v>18</v>
      </c>
      <c r="G24" s="8"/>
    </row>
    <row r="25" spans="1:7" ht="25.05" customHeight="1">
      <c r="A25" s="6">
        <v>22</v>
      </c>
      <c r="B25" s="7" t="s">
        <v>23</v>
      </c>
      <c r="C25" s="6" t="s">
        <v>580</v>
      </c>
      <c r="D25" s="6" t="s">
        <v>229</v>
      </c>
      <c r="E25" s="8" t="s">
        <v>584</v>
      </c>
      <c r="F25" s="8">
        <v>25</v>
      </c>
      <c r="G25" s="8"/>
    </row>
    <row r="26" spans="1:7" ht="25.05" customHeight="1">
      <c r="A26" s="6">
        <v>23</v>
      </c>
      <c r="B26" s="7" t="s">
        <v>23</v>
      </c>
      <c r="C26" s="6" t="s">
        <v>580</v>
      </c>
      <c r="D26" s="6" t="s">
        <v>229</v>
      </c>
      <c r="E26" s="8" t="s">
        <v>234</v>
      </c>
      <c r="F26" s="8">
        <v>20</v>
      </c>
      <c r="G26" s="8"/>
    </row>
    <row r="27" spans="1:7" ht="25.05" customHeight="1">
      <c r="A27" s="6">
        <v>24</v>
      </c>
      <c r="B27" s="7" t="s">
        <v>23</v>
      </c>
      <c r="C27" s="6" t="s">
        <v>580</v>
      </c>
      <c r="D27" s="6" t="s">
        <v>229</v>
      </c>
      <c r="E27" s="8" t="s">
        <v>237</v>
      </c>
      <c r="F27" s="8">
        <v>8</v>
      </c>
      <c r="G27" s="8"/>
    </row>
    <row r="28" spans="1:7" ht="25.05" customHeight="1">
      <c r="A28" s="6">
        <v>25</v>
      </c>
      <c r="B28" s="7" t="s">
        <v>23</v>
      </c>
      <c r="C28" s="6" t="s">
        <v>580</v>
      </c>
      <c r="D28" s="6" t="s">
        <v>229</v>
      </c>
      <c r="E28" s="8" t="s">
        <v>235</v>
      </c>
      <c r="F28" s="8">
        <v>10</v>
      </c>
      <c r="G28" s="8"/>
    </row>
    <row r="29" spans="1:7" ht="25.05" customHeight="1">
      <c r="A29" s="6">
        <v>26</v>
      </c>
      <c r="B29" s="7" t="s">
        <v>23</v>
      </c>
      <c r="C29" s="6" t="s">
        <v>580</v>
      </c>
      <c r="D29" s="6" t="s">
        <v>229</v>
      </c>
      <c r="E29" s="81" t="s">
        <v>585</v>
      </c>
      <c r="F29" s="83">
        <v>20</v>
      </c>
      <c r="G29" s="8"/>
    </row>
    <row r="30" spans="1:7" ht="25.05" customHeight="1">
      <c r="A30" s="6">
        <v>27</v>
      </c>
      <c r="B30" s="7" t="s">
        <v>23</v>
      </c>
      <c r="C30" s="6" t="s">
        <v>580</v>
      </c>
      <c r="D30" s="3" t="s">
        <v>219</v>
      </c>
      <c r="E30" s="9" t="s">
        <v>238</v>
      </c>
      <c r="F30" s="9">
        <f>SUM(F22:F29)</f>
        <v>167</v>
      </c>
      <c r="G30" s="9"/>
    </row>
    <row r="31" spans="1:7" ht="25.05" customHeight="1">
      <c r="A31" s="6">
        <v>28</v>
      </c>
      <c r="B31" s="7" t="s">
        <v>23</v>
      </c>
      <c r="C31" s="6" t="s">
        <v>580</v>
      </c>
      <c r="D31" s="6" t="s">
        <v>239</v>
      </c>
      <c r="E31" s="8" t="s">
        <v>240</v>
      </c>
      <c r="F31" s="8">
        <v>80</v>
      </c>
      <c r="G31" s="8"/>
    </row>
    <row r="32" spans="1:7" ht="25.05" customHeight="1">
      <c r="A32" s="6">
        <v>29</v>
      </c>
      <c r="B32" s="7" t="s">
        <v>23</v>
      </c>
      <c r="C32" s="6" t="s">
        <v>580</v>
      </c>
      <c r="D32" s="6" t="s">
        <v>239</v>
      </c>
      <c r="E32" s="8" t="s">
        <v>241</v>
      </c>
      <c r="F32" s="8">
        <v>60</v>
      </c>
      <c r="G32" s="8"/>
    </row>
    <row r="33" spans="1:7" ht="25.05" customHeight="1">
      <c r="A33" s="6">
        <v>30</v>
      </c>
      <c r="B33" s="7" t="s">
        <v>23</v>
      </c>
      <c r="C33" s="6" t="s">
        <v>580</v>
      </c>
      <c r="D33" s="3" t="s">
        <v>219</v>
      </c>
      <c r="E33" s="9" t="s">
        <v>242</v>
      </c>
      <c r="F33" s="9">
        <f>SUM(F31:F32)</f>
        <v>140</v>
      </c>
      <c r="G33" s="9"/>
    </row>
    <row r="34" spans="1:7" ht="25.05" customHeight="1">
      <c r="A34" s="6">
        <v>31</v>
      </c>
      <c r="B34" s="7" t="s">
        <v>23</v>
      </c>
      <c r="C34" s="6" t="s">
        <v>580</v>
      </c>
      <c r="D34" s="6" t="s">
        <v>249</v>
      </c>
      <c r="E34" s="8" t="s">
        <v>332</v>
      </c>
      <c r="F34" s="8">
        <v>8</v>
      </c>
      <c r="G34" s="8"/>
    </row>
    <row r="35" spans="1:7" ht="25.05" customHeight="1">
      <c r="A35" s="6">
        <v>32</v>
      </c>
      <c r="B35" s="7" t="s">
        <v>23</v>
      </c>
      <c r="C35" s="6" t="s">
        <v>580</v>
      </c>
      <c r="D35" s="6" t="s">
        <v>249</v>
      </c>
      <c r="E35" s="8" t="s">
        <v>333</v>
      </c>
      <c r="F35" s="8">
        <v>8</v>
      </c>
      <c r="G35" s="8"/>
    </row>
    <row r="36" spans="1:7" ht="25.05" customHeight="1">
      <c r="A36" s="6">
        <v>33</v>
      </c>
      <c r="B36" s="7" t="s">
        <v>23</v>
      </c>
      <c r="C36" s="6" t="s">
        <v>580</v>
      </c>
      <c r="D36" s="6" t="s">
        <v>249</v>
      </c>
      <c r="E36" s="8" t="s">
        <v>586</v>
      </c>
      <c r="F36" s="8">
        <v>48</v>
      </c>
      <c r="G36" s="8"/>
    </row>
    <row r="37" spans="1:7" ht="25.05" customHeight="1">
      <c r="A37" s="6">
        <v>34</v>
      </c>
      <c r="B37" s="7" t="s">
        <v>23</v>
      </c>
      <c r="C37" s="6" t="s">
        <v>580</v>
      </c>
      <c r="D37" s="6" t="s">
        <v>249</v>
      </c>
      <c r="E37" s="8" t="s">
        <v>335</v>
      </c>
      <c r="F37" s="8">
        <v>8</v>
      </c>
      <c r="G37" s="8"/>
    </row>
    <row r="38" spans="1:7" ht="25.05" customHeight="1">
      <c r="A38" s="6">
        <v>35</v>
      </c>
      <c r="B38" s="7" t="s">
        <v>23</v>
      </c>
      <c r="C38" s="6" t="s">
        <v>580</v>
      </c>
      <c r="D38" s="6" t="s">
        <v>249</v>
      </c>
      <c r="E38" s="8" t="s">
        <v>336</v>
      </c>
      <c r="F38" s="8">
        <v>3</v>
      </c>
      <c r="G38" s="8"/>
    </row>
    <row r="39" spans="1:7" ht="25.05" customHeight="1">
      <c r="A39" s="6">
        <v>36</v>
      </c>
      <c r="B39" s="7" t="s">
        <v>23</v>
      </c>
      <c r="C39" s="6" t="s">
        <v>580</v>
      </c>
      <c r="D39" s="6" t="s">
        <v>249</v>
      </c>
      <c r="E39" s="8" t="s">
        <v>587</v>
      </c>
      <c r="F39" s="8">
        <v>10</v>
      </c>
      <c r="G39" s="8"/>
    </row>
    <row r="40" spans="1:7" ht="25.05" customHeight="1">
      <c r="A40" s="6">
        <v>37</v>
      </c>
      <c r="B40" s="7" t="s">
        <v>23</v>
      </c>
      <c r="C40" s="6" t="s">
        <v>580</v>
      </c>
      <c r="D40" s="6" t="s">
        <v>249</v>
      </c>
      <c r="E40" s="8" t="s">
        <v>588</v>
      </c>
      <c r="F40" s="8">
        <v>5</v>
      </c>
      <c r="G40" s="8"/>
    </row>
    <row r="41" spans="1:7" ht="25.05" customHeight="1">
      <c r="A41" s="6">
        <v>38</v>
      </c>
      <c r="B41" s="7" t="s">
        <v>23</v>
      </c>
      <c r="C41" s="6" t="s">
        <v>580</v>
      </c>
      <c r="D41" s="3" t="s">
        <v>219</v>
      </c>
      <c r="E41" s="9" t="s">
        <v>255</v>
      </c>
      <c r="F41" s="9">
        <f>SUM(F34:F40)</f>
        <v>90</v>
      </c>
      <c r="G41" s="9"/>
    </row>
    <row r="42" spans="1:7" ht="25.05" customHeight="1">
      <c r="A42" s="6">
        <v>39</v>
      </c>
      <c r="B42" s="7" t="s">
        <v>23</v>
      </c>
      <c r="C42" s="6" t="s">
        <v>580</v>
      </c>
      <c r="D42" s="109" t="s">
        <v>256</v>
      </c>
      <c r="E42" s="109" t="s">
        <v>589</v>
      </c>
      <c r="F42" s="109">
        <v>10</v>
      </c>
      <c r="G42" s="8"/>
    </row>
    <row r="43" spans="1:7" ht="25.05" customHeight="1">
      <c r="A43" s="6">
        <v>40</v>
      </c>
      <c r="B43" s="7" t="s">
        <v>23</v>
      </c>
      <c r="C43" s="6" t="s">
        <v>580</v>
      </c>
      <c r="D43" s="109" t="s">
        <v>256</v>
      </c>
      <c r="E43" s="109" t="s">
        <v>590</v>
      </c>
      <c r="F43" s="109">
        <v>50</v>
      </c>
      <c r="G43" s="8"/>
    </row>
    <row r="44" spans="1:7" ht="25.05" customHeight="1">
      <c r="A44" s="6">
        <v>41</v>
      </c>
      <c r="B44" s="7" t="s">
        <v>23</v>
      </c>
      <c r="C44" s="6" t="s">
        <v>580</v>
      </c>
      <c r="D44" s="3" t="s">
        <v>219</v>
      </c>
      <c r="E44" s="10" t="s">
        <v>258</v>
      </c>
      <c r="F44" s="9">
        <f>SUM(F42:F43)</f>
        <v>60</v>
      </c>
      <c r="G44" s="9"/>
    </row>
    <row r="45" spans="1:7" ht="25.05" customHeight="1">
      <c r="A45" s="6">
        <v>42</v>
      </c>
      <c r="B45" s="7" t="s">
        <v>23</v>
      </c>
      <c r="C45" s="6" t="s">
        <v>580</v>
      </c>
      <c r="D45" s="6" t="s">
        <v>262</v>
      </c>
      <c r="E45" s="8" t="s">
        <v>263</v>
      </c>
      <c r="F45" s="8">
        <v>120</v>
      </c>
      <c r="G45" s="8"/>
    </row>
    <row r="46" spans="1:7" ht="25.05" customHeight="1">
      <c r="A46" s="6">
        <v>43</v>
      </c>
      <c r="B46" s="7" t="s">
        <v>23</v>
      </c>
      <c r="C46" s="6" t="s">
        <v>580</v>
      </c>
      <c r="D46" s="6" t="s">
        <v>262</v>
      </c>
      <c r="E46" s="8" t="s">
        <v>265</v>
      </c>
      <c r="F46" s="8">
        <v>30</v>
      </c>
      <c r="G46" s="8"/>
    </row>
    <row r="47" spans="1:7" ht="25.05" customHeight="1">
      <c r="A47" s="6">
        <v>44</v>
      </c>
      <c r="B47" s="7" t="s">
        <v>23</v>
      </c>
      <c r="C47" s="6" t="s">
        <v>580</v>
      </c>
      <c r="D47" s="6" t="s">
        <v>262</v>
      </c>
      <c r="E47" s="8" t="s">
        <v>264</v>
      </c>
      <c r="F47" s="8">
        <v>40</v>
      </c>
      <c r="G47" s="8"/>
    </row>
    <row r="48" spans="1:7" ht="25.05" customHeight="1">
      <c r="A48" s="6">
        <v>45</v>
      </c>
      <c r="B48" s="7" t="s">
        <v>23</v>
      </c>
      <c r="C48" s="6" t="s">
        <v>580</v>
      </c>
      <c r="D48" s="6" t="s">
        <v>262</v>
      </c>
      <c r="E48" s="8" t="s">
        <v>591</v>
      </c>
      <c r="F48" s="8">
        <v>40</v>
      </c>
      <c r="G48" s="8"/>
    </row>
    <row r="49" spans="1:7" ht="25.05" customHeight="1">
      <c r="A49" s="6">
        <v>46</v>
      </c>
      <c r="B49" s="7" t="s">
        <v>23</v>
      </c>
      <c r="C49" s="6" t="s">
        <v>580</v>
      </c>
      <c r="D49" s="3" t="s">
        <v>219</v>
      </c>
      <c r="E49" s="9" t="s">
        <v>266</v>
      </c>
      <c r="F49" s="9">
        <v>230</v>
      </c>
      <c r="G49" s="9"/>
    </row>
    <row r="50" spans="1:7" ht="25.05" customHeight="1">
      <c r="A50" s="6">
        <v>47</v>
      </c>
      <c r="B50" s="7" t="s">
        <v>23</v>
      </c>
      <c r="C50" s="6" t="s">
        <v>580</v>
      </c>
      <c r="D50" s="5" t="s">
        <v>267</v>
      </c>
      <c r="E50" s="10" t="s">
        <v>592</v>
      </c>
      <c r="F50" s="10">
        <v>1071</v>
      </c>
      <c r="G50" s="9"/>
    </row>
    <row r="51" spans="1:7" ht="25.05" customHeight="1">
      <c r="A51" s="219" t="s">
        <v>503</v>
      </c>
      <c r="B51" s="219"/>
      <c r="C51" s="219"/>
      <c r="D51" s="219"/>
      <c r="E51" s="219"/>
      <c r="F51" s="219"/>
      <c r="G51" s="219"/>
    </row>
  </sheetData>
  <autoFilter ref="A3:G51" xr:uid="{00000000-0009-0000-0000-00001C000000}"/>
  <mergeCells count="3">
    <mergeCell ref="A1:G1"/>
    <mergeCell ref="A2:G2"/>
    <mergeCell ref="A51:G51"/>
  </mergeCells>
  <phoneticPr fontId="23" type="noConversion"/>
  <pageMargins left="0.59055118110236204" right="0.15748031496063" top="0.35433070866141703" bottom="0.43307086614173201" header="0.35433070866141703" footer="0.196850393700787"/>
  <pageSetup paperSize="9" orientation="portrait" r:id="rId1"/>
  <headerFooter>
    <oddFooter>&amp;C&amp;8第 &amp;P 页，共 &amp;N 页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G57"/>
  <sheetViews>
    <sheetView view="pageBreakPreview" zoomScale="115" zoomScaleNormal="100" workbookViewId="0">
      <selection activeCell="E10" sqref="E10"/>
    </sheetView>
  </sheetViews>
  <sheetFormatPr defaultColWidth="9" defaultRowHeight="19.05" customHeight="1"/>
  <cols>
    <col min="1" max="1" width="4.06640625" style="1" customWidth="1"/>
    <col min="2" max="2" width="6.73046875" style="2" customWidth="1"/>
    <col min="3" max="3" width="19" style="1" customWidth="1"/>
    <col min="4" max="4" width="10.265625" style="1" customWidth="1"/>
    <col min="5" max="5" width="43.73046875" style="1" customWidth="1"/>
    <col min="6" max="6" width="6.265625" style="78" customWidth="1"/>
    <col min="7" max="7" width="7.265625" style="1" customWidth="1"/>
  </cols>
  <sheetData>
    <row r="1" spans="1:7" ht="25.05" customHeight="1">
      <c r="A1" s="215" t="s">
        <v>593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594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95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95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95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95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95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95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95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95</v>
      </c>
      <c r="D11" s="6" t="s">
        <v>209</v>
      </c>
      <c r="E11" s="8" t="s">
        <v>292</v>
      </c>
      <c r="F11" s="25">
        <v>18</v>
      </c>
      <c r="G11" s="8"/>
    </row>
    <row r="12" spans="1:7" ht="25.05" customHeight="1">
      <c r="A12" s="6">
        <v>9</v>
      </c>
      <c r="B12" s="7" t="s">
        <v>23</v>
      </c>
      <c r="C12" s="6" t="s">
        <v>95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95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95</v>
      </c>
      <c r="D14" s="3" t="s">
        <v>219</v>
      </c>
      <c r="E14" s="9" t="s">
        <v>220</v>
      </c>
      <c r="F14" s="79">
        <f>SUM(F4:F13)</f>
        <v>256</v>
      </c>
      <c r="G14" s="9"/>
    </row>
    <row r="15" spans="1:7" ht="25.05" customHeight="1">
      <c r="A15" s="6">
        <v>12</v>
      </c>
      <c r="B15" s="7" t="s">
        <v>23</v>
      </c>
      <c r="C15" s="6" t="s">
        <v>95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95</v>
      </c>
      <c r="D16" s="6" t="s">
        <v>221</v>
      </c>
      <c r="E16" s="8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23</v>
      </c>
      <c r="C17" s="6" t="s">
        <v>95</v>
      </c>
      <c r="D17" s="6" t="s">
        <v>221</v>
      </c>
      <c r="E17" s="8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23</v>
      </c>
      <c r="C18" s="6" t="s">
        <v>95</v>
      </c>
      <c r="D18" s="6" t="s">
        <v>221</v>
      </c>
      <c r="E18" s="8" t="s">
        <v>582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95</v>
      </c>
      <c r="D19" s="6" t="s">
        <v>221</v>
      </c>
      <c r="E19" s="8" t="s">
        <v>294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95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95</v>
      </c>
      <c r="D21" s="3" t="s">
        <v>219</v>
      </c>
      <c r="E21" s="9" t="s">
        <v>228</v>
      </c>
      <c r="F21" s="79">
        <f>SUM(F15:F20)</f>
        <v>128</v>
      </c>
      <c r="G21" s="9"/>
    </row>
    <row r="22" spans="1:7" ht="25.05" customHeight="1">
      <c r="A22" s="6">
        <v>19</v>
      </c>
      <c r="B22" s="7" t="s">
        <v>23</v>
      </c>
      <c r="C22" s="6" t="s">
        <v>95</v>
      </c>
      <c r="D22" s="6" t="s">
        <v>229</v>
      </c>
      <c r="E22" s="8" t="s">
        <v>230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95</v>
      </c>
      <c r="D23" s="6" t="s">
        <v>229</v>
      </c>
      <c r="E23" s="8" t="s">
        <v>411</v>
      </c>
      <c r="F23" s="25">
        <v>52</v>
      </c>
      <c r="G23" s="8"/>
    </row>
    <row r="24" spans="1:7" ht="25.05" customHeight="1">
      <c r="A24" s="6">
        <v>21</v>
      </c>
      <c r="B24" s="7" t="s">
        <v>23</v>
      </c>
      <c r="C24" s="6" t="s">
        <v>95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95</v>
      </c>
      <c r="D25" s="6" t="s">
        <v>229</v>
      </c>
      <c r="E25" s="8" t="s">
        <v>584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95</v>
      </c>
      <c r="D26" s="6" t="s">
        <v>229</v>
      </c>
      <c r="E26" s="8" t="s">
        <v>234</v>
      </c>
      <c r="F26" s="25">
        <v>20</v>
      </c>
      <c r="G26" s="8"/>
    </row>
    <row r="27" spans="1:7" ht="25.05" customHeight="1">
      <c r="A27" s="6">
        <v>24</v>
      </c>
      <c r="B27" s="7" t="s">
        <v>23</v>
      </c>
      <c r="C27" s="6" t="s">
        <v>95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95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23</v>
      </c>
      <c r="C29" s="6" t="s">
        <v>95</v>
      </c>
      <c r="D29" s="6" t="s">
        <v>229</v>
      </c>
      <c r="E29" s="81" t="s">
        <v>585</v>
      </c>
      <c r="F29" s="25">
        <v>20</v>
      </c>
      <c r="G29" s="8"/>
    </row>
    <row r="30" spans="1:7" ht="25.05" customHeight="1">
      <c r="A30" s="6">
        <v>27</v>
      </c>
      <c r="B30" s="7" t="s">
        <v>23</v>
      </c>
      <c r="C30" s="6" t="s">
        <v>95</v>
      </c>
      <c r="D30" s="3" t="s">
        <v>219</v>
      </c>
      <c r="E30" s="9" t="s">
        <v>238</v>
      </c>
      <c r="F30" s="79">
        <f>SUM(F22:F29)</f>
        <v>167</v>
      </c>
      <c r="G30" s="9"/>
    </row>
    <row r="31" spans="1:7" ht="25.05" customHeight="1">
      <c r="A31" s="6">
        <v>28</v>
      </c>
      <c r="B31" s="7" t="s">
        <v>23</v>
      </c>
      <c r="C31" s="6" t="s">
        <v>95</v>
      </c>
      <c r="D31" s="6" t="s">
        <v>239</v>
      </c>
      <c r="E31" s="8" t="s">
        <v>240</v>
      </c>
      <c r="F31" s="25">
        <v>80</v>
      </c>
      <c r="G31" s="8"/>
    </row>
    <row r="32" spans="1:7" ht="25.05" customHeight="1">
      <c r="A32" s="6">
        <v>29</v>
      </c>
      <c r="B32" s="7" t="s">
        <v>23</v>
      </c>
      <c r="C32" s="6" t="s">
        <v>95</v>
      </c>
      <c r="D32" s="6" t="s">
        <v>239</v>
      </c>
      <c r="E32" s="8" t="s">
        <v>241</v>
      </c>
      <c r="F32" s="25">
        <v>60</v>
      </c>
      <c r="G32" s="8"/>
    </row>
    <row r="33" spans="1:7" ht="25.05" customHeight="1">
      <c r="A33" s="6">
        <v>30</v>
      </c>
      <c r="B33" s="7" t="s">
        <v>23</v>
      </c>
      <c r="C33" s="6" t="s">
        <v>95</v>
      </c>
      <c r="D33" s="3" t="s">
        <v>219</v>
      </c>
      <c r="E33" s="9" t="s">
        <v>242</v>
      </c>
      <c r="F33" s="79">
        <f>SUM(F31:F32)</f>
        <v>140</v>
      </c>
      <c r="G33" s="9"/>
    </row>
    <row r="34" spans="1:7" ht="25.05" customHeight="1">
      <c r="A34" s="6">
        <v>31</v>
      </c>
      <c r="B34" s="7" t="s">
        <v>23</v>
      </c>
      <c r="C34" s="6" t="s">
        <v>95</v>
      </c>
      <c r="D34" s="6" t="s">
        <v>249</v>
      </c>
      <c r="E34" s="8" t="s">
        <v>332</v>
      </c>
      <c r="F34" s="25">
        <v>8</v>
      </c>
      <c r="G34" s="8"/>
    </row>
    <row r="35" spans="1:7" ht="25.05" customHeight="1">
      <c r="A35" s="6">
        <v>32</v>
      </c>
      <c r="B35" s="7" t="s">
        <v>23</v>
      </c>
      <c r="C35" s="6" t="s">
        <v>95</v>
      </c>
      <c r="D35" s="6" t="s">
        <v>249</v>
      </c>
      <c r="E35" s="8" t="s">
        <v>333</v>
      </c>
      <c r="F35" s="25">
        <v>8</v>
      </c>
      <c r="G35" s="8"/>
    </row>
    <row r="36" spans="1:7" ht="25.05" customHeight="1">
      <c r="A36" s="6">
        <v>33</v>
      </c>
      <c r="B36" s="7" t="s">
        <v>23</v>
      </c>
      <c r="C36" s="6" t="s">
        <v>95</v>
      </c>
      <c r="D36" s="6" t="s">
        <v>249</v>
      </c>
      <c r="E36" s="8" t="s">
        <v>595</v>
      </c>
      <c r="F36" s="25">
        <v>36</v>
      </c>
      <c r="G36" s="8"/>
    </row>
    <row r="37" spans="1:7" ht="25.05" customHeight="1">
      <c r="A37" s="6">
        <v>34</v>
      </c>
      <c r="B37" s="7" t="s">
        <v>23</v>
      </c>
      <c r="C37" s="6" t="s">
        <v>95</v>
      </c>
      <c r="D37" s="6" t="s">
        <v>249</v>
      </c>
      <c r="E37" s="8" t="s">
        <v>596</v>
      </c>
      <c r="F37" s="25">
        <v>10</v>
      </c>
      <c r="G37" s="8"/>
    </row>
    <row r="38" spans="1:7" ht="25.05" customHeight="1">
      <c r="A38" s="6">
        <v>35</v>
      </c>
      <c r="B38" s="7" t="s">
        <v>23</v>
      </c>
      <c r="C38" s="6" t="s">
        <v>95</v>
      </c>
      <c r="D38" s="6" t="s">
        <v>249</v>
      </c>
      <c r="E38" s="8" t="s">
        <v>597</v>
      </c>
      <c r="F38" s="25">
        <v>10</v>
      </c>
      <c r="G38" s="8"/>
    </row>
    <row r="39" spans="1:7" ht="25.05" customHeight="1">
      <c r="A39" s="6">
        <v>36</v>
      </c>
      <c r="B39" s="7" t="s">
        <v>23</v>
      </c>
      <c r="C39" s="6" t="s">
        <v>95</v>
      </c>
      <c r="D39" s="6" t="s">
        <v>249</v>
      </c>
      <c r="E39" s="8" t="s">
        <v>598</v>
      </c>
      <c r="F39" s="25">
        <v>30</v>
      </c>
      <c r="G39" s="8"/>
    </row>
    <row r="40" spans="1:7" ht="25.05" customHeight="1">
      <c r="A40" s="6">
        <v>37</v>
      </c>
      <c r="B40" s="7" t="s">
        <v>23</v>
      </c>
      <c r="C40" s="6" t="s">
        <v>95</v>
      </c>
      <c r="D40" s="6" t="s">
        <v>249</v>
      </c>
      <c r="E40" s="8" t="s">
        <v>599</v>
      </c>
      <c r="F40" s="25">
        <v>10</v>
      </c>
      <c r="G40" s="8"/>
    </row>
    <row r="41" spans="1:7" ht="25.05" customHeight="1">
      <c r="A41" s="6">
        <v>38</v>
      </c>
      <c r="B41" s="7" t="s">
        <v>23</v>
      </c>
      <c r="C41" s="6" t="s">
        <v>95</v>
      </c>
      <c r="D41" s="6" t="s">
        <v>249</v>
      </c>
      <c r="E41" s="8" t="s">
        <v>600</v>
      </c>
      <c r="F41" s="25">
        <v>40</v>
      </c>
      <c r="G41" s="8"/>
    </row>
    <row r="42" spans="1:7" ht="25.05" customHeight="1">
      <c r="A42" s="6">
        <v>39</v>
      </c>
      <c r="B42" s="7" t="s">
        <v>23</v>
      </c>
      <c r="C42" s="6" t="s">
        <v>95</v>
      </c>
      <c r="D42" s="6" t="s">
        <v>249</v>
      </c>
      <c r="E42" s="8" t="s">
        <v>601</v>
      </c>
      <c r="F42" s="25">
        <v>40</v>
      </c>
      <c r="G42" s="8"/>
    </row>
    <row r="43" spans="1:7" ht="25.05" customHeight="1">
      <c r="A43" s="6">
        <v>40</v>
      </c>
      <c r="B43" s="7" t="s">
        <v>23</v>
      </c>
      <c r="C43" s="6" t="s">
        <v>95</v>
      </c>
      <c r="D43" s="6" t="s">
        <v>249</v>
      </c>
      <c r="E43" s="8" t="s">
        <v>335</v>
      </c>
      <c r="F43" s="25">
        <v>8</v>
      </c>
      <c r="G43" s="8"/>
    </row>
    <row r="44" spans="1:7" ht="25.05" customHeight="1">
      <c r="A44" s="6">
        <v>41</v>
      </c>
      <c r="B44" s="7" t="s">
        <v>23</v>
      </c>
      <c r="C44" s="6" t="s">
        <v>95</v>
      </c>
      <c r="D44" s="6" t="s">
        <v>249</v>
      </c>
      <c r="E44" s="8" t="s">
        <v>336</v>
      </c>
      <c r="F44" s="25">
        <v>3</v>
      </c>
      <c r="G44" s="8"/>
    </row>
    <row r="45" spans="1:7" ht="25.05" customHeight="1">
      <c r="A45" s="6">
        <v>42</v>
      </c>
      <c r="B45" s="7" t="s">
        <v>23</v>
      </c>
      <c r="C45" s="6" t="s">
        <v>95</v>
      </c>
      <c r="D45" s="6" t="s">
        <v>249</v>
      </c>
      <c r="E45" s="8" t="s">
        <v>587</v>
      </c>
      <c r="F45" s="25">
        <v>10</v>
      </c>
      <c r="G45" s="8"/>
    </row>
    <row r="46" spans="1:7" ht="25.05" customHeight="1">
      <c r="A46" s="6">
        <v>43</v>
      </c>
      <c r="B46" s="7" t="s">
        <v>23</v>
      </c>
      <c r="C46" s="6" t="s">
        <v>95</v>
      </c>
      <c r="D46" s="6" t="s">
        <v>249</v>
      </c>
      <c r="E46" s="8" t="s">
        <v>588</v>
      </c>
      <c r="F46" s="25">
        <v>5</v>
      </c>
      <c r="G46" s="8"/>
    </row>
    <row r="47" spans="1:7" ht="25.05" customHeight="1">
      <c r="A47" s="6">
        <v>44</v>
      </c>
      <c r="B47" s="7" t="s">
        <v>23</v>
      </c>
      <c r="C47" s="6" t="s">
        <v>95</v>
      </c>
      <c r="D47" s="3" t="s">
        <v>219</v>
      </c>
      <c r="E47" s="9" t="s">
        <v>255</v>
      </c>
      <c r="F47" s="79">
        <f>SUM(F34:F46)</f>
        <v>218</v>
      </c>
      <c r="G47" s="9"/>
    </row>
    <row r="48" spans="1:7" ht="25.05" customHeight="1">
      <c r="A48" s="6">
        <v>45</v>
      </c>
      <c r="B48" s="7" t="s">
        <v>23</v>
      </c>
      <c r="C48" s="6" t="s">
        <v>95</v>
      </c>
      <c r="D48" s="76" t="s">
        <v>256</v>
      </c>
      <c r="E48" s="109" t="s">
        <v>589</v>
      </c>
      <c r="F48" s="110">
        <v>10</v>
      </c>
      <c r="G48" s="8"/>
    </row>
    <row r="49" spans="1:7" ht="25.05" customHeight="1">
      <c r="A49" s="6">
        <v>46</v>
      </c>
      <c r="B49" s="7" t="s">
        <v>23</v>
      </c>
      <c r="C49" s="6" t="s">
        <v>95</v>
      </c>
      <c r="D49" s="76" t="s">
        <v>256</v>
      </c>
      <c r="E49" s="109" t="s">
        <v>590</v>
      </c>
      <c r="F49" s="110">
        <v>50</v>
      </c>
      <c r="G49" s="8"/>
    </row>
    <row r="50" spans="1:7" ht="25.05" customHeight="1">
      <c r="A50" s="6">
        <v>47</v>
      </c>
      <c r="B50" s="7" t="s">
        <v>23</v>
      </c>
      <c r="C50" s="6" t="s">
        <v>95</v>
      </c>
      <c r="D50" s="3" t="s">
        <v>219</v>
      </c>
      <c r="E50" s="10" t="s">
        <v>258</v>
      </c>
      <c r="F50" s="79">
        <f>SUM(F48:F49)</f>
        <v>60</v>
      </c>
      <c r="G50" s="9"/>
    </row>
    <row r="51" spans="1:7" ht="25.05" customHeight="1">
      <c r="A51" s="6">
        <v>48</v>
      </c>
      <c r="B51" s="7" t="s">
        <v>23</v>
      </c>
      <c r="C51" s="6" t="s">
        <v>95</v>
      </c>
      <c r="D51" s="6" t="s">
        <v>262</v>
      </c>
      <c r="E51" s="8" t="s">
        <v>263</v>
      </c>
      <c r="F51" s="25">
        <v>120</v>
      </c>
      <c r="G51" s="8"/>
    </row>
    <row r="52" spans="1:7" ht="25.05" customHeight="1">
      <c r="A52" s="6">
        <v>49</v>
      </c>
      <c r="B52" s="7" t="s">
        <v>23</v>
      </c>
      <c r="C52" s="6" t="s">
        <v>95</v>
      </c>
      <c r="D52" s="6" t="s">
        <v>262</v>
      </c>
      <c r="E52" s="8" t="s">
        <v>265</v>
      </c>
      <c r="F52" s="25">
        <v>30</v>
      </c>
      <c r="G52" s="8"/>
    </row>
    <row r="53" spans="1:7" ht="25.05" customHeight="1">
      <c r="A53" s="6">
        <v>50</v>
      </c>
      <c r="B53" s="7" t="s">
        <v>23</v>
      </c>
      <c r="C53" s="6" t="s">
        <v>95</v>
      </c>
      <c r="D53" s="6" t="s">
        <v>262</v>
      </c>
      <c r="E53" s="8" t="s">
        <v>264</v>
      </c>
      <c r="F53" s="25">
        <v>40</v>
      </c>
      <c r="G53" s="8"/>
    </row>
    <row r="54" spans="1:7" ht="25.05" customHeight="1">
      <c r="A54" s="6">
        <v>51</v>
      </c>
      <c r="B54" s="7" t="s">
        <v>23</v>
      </c>
      <c r="C54" s="6" t="s">
        <v>95</v>
      </c>
      <c r="D54" s="6" t="s">
        <v>262</v>
      </c>
      <c r="E54" s="8" t="s">
        <v>591</v>
      </c>
      <c r="F54" s="25">
        <v>40</v>
      </c>
      <c r="G54" s="8"/>
    </row>
    <row r="55" spans="1:7" ht="25.05" customHeight="1">
      <c r="A55" s="6">
        <v>52</v>
      </c>
      <c r="B55" s="7" t="s">
        <v>23</v>
      </c>
      <c r="C55" s="6" t="s">
        <v>95</v>
      </c>
      <c r="D55" s="3" t="s">
        <v>219</v>
      </c>
      <c r="E55" s="9" t="s">
        <v>266</v>
      </c>
      <c r="F55" s="79">
        <v>230</v>
      </c>
      <c r="G55" s="9"/>
    </row>
    <row r="56" spans="1:7" ht="28.5" customHeight="1">
      <c r="A56" s="6">
        <v>53</v>
      </c>
      <c r="B56" s="7" t="s">
        <v>23</v>
      </c>
      <c r="C56" s="6" t="s">
        <v>95</v>
      </c>
      <c r="D56" s="5" t="s">
        <v>267</v>
      </c>
      <c r="E56" s="10" t="s">
        <v>602</v>
      </c>
      <c r="F56" s="10">
        <v>1199</v>
      </c>
      <c r="G56" s="9"/>
    </row>
    <row r="57" spans="1:7" ht="25.05" customHeight="1">
      <c r="A57" s="219" t="s">
        <v>503</v>
      </c>
      <c r="B57" s="219"/>
      <c r="C57" s="219"/>
      <c r="D57" s="219"/>
      <c r="E57" s="219"/>
      <c r="F57" s="219"/>
      <c r="G57" s="219"/>
    </row>
  </sheetData>
  <autoFilter ref="A3:G57" xr:uid="{00000000-0009-0000-0000-00001D000000}"/>
  <mergeCells count="3">
    <mergeCell ref="A1:G1"/>
    <mergeCell ref="A2:G2"/>
    <mergeCell ref="A57:G57"/>
  </mergeCells>
  <phoneticPr fontId="23" type="noConversion"/>
  <pageMargins left="0.59055118110236204" right="0.13" top="0.35433070866141703" bottom="0.55118110236220497" header="0.35433070866141703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G52"/>
  <sheetViews>
    <sheetView view="pageBreakPreview" topLeftCell="A16" zoomScale="115" zoomScaleNormal="100" workbookViewId="0">
      <selection activeCell="E17" sqref="E17"/>
    </sheetView>
  </sheetViews>
  <sheetFormatPr defaultColWidth="9" defaultRowHeight="19.05" customHeight="1"/>
  <cols>
    <col min="1" max="1" width="4.06640625" style="100" customWidth="1"/>
    <col min="2" max="2" width="9.9296875" style="101" customWidth="1"/>
    <col min="3" max="3" width="18.19921875" style="100" customWidth="1"/>
    <col min="4" max="4" width="11.265625" style="100" customWidth="1"/>
    <col min="5" max="5" width="39.33203125" style="114" customWidth="1"/>
    <col min="6" max="6" width="6.33203125" style="113" customWidth="1"/>
    <col min="7" max="7" width="7.73046875" style="100" customWidth="1"/>
  </cols>
  <sheetData>
    <row r="1" spans="1:7" ht="25.05" customHeight="1">
      <c r="A1" s="215" t="s">
        <v>603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604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98</v>
      </c>
      <c r="C4" s="6" t="s">
        <v>99</v>
      </c>
      <c r="D4" s="6" t="s">
        <v>209</v>
      </c>
      <c r="E4" s="11" t="s">
        <v>210</v>
      </c>
      <c r="F4" s="25">
        <v>19</v>
      </c>
      <c r="G4" s="8"/>
    </row>
    <row r="5" spans="1:7" ht="25.05" customHeight="1">
      <c r="A5" s="6">
        <v>2</v>
      </c>
      <c r="B5" s="7" t="s">
        <v>98</v>
      </c>
      <c r="C5" s="6" t="s">
        <v>99</v>
      </c>
      <c r="D5" s="6" t="s">
        <v>209</v>
      </c>
      <c r="E5" s="11" t="s">
        <v>211</v>
      </c>
      <c r="F5" s="25">
        <v>15</v>
      </c>
      <c r="G5" s="8"/>
    </row>
    <row r="6" spans="1:7" ht="25.05" customHeight="1">
      <c r="A6" s="6">
        <v>3</v>
      </c>
      <c r="B6" s="7" t="s">
        <v>98</v>
      </c>
      <c r="C6" s="6" t="s">
        <v>99</v>
      </c>
      <c r="D6" s="6" t="s">
        <v>209</v>
      </c>
      <c r="E6" s="11" t="s">
        <v>212</v>
      </c>
      <c r="F6" s="25">
        <v>34</v>
      </c>
      <c r="G6" s="8"/>
    </row>
    <row r="7" spans="1:7" ht="25.05" customHeight="1">
      <c r="A7" s="6">
        <v>4</v>
      </c>
      <c r="B7" s="7" t="s">
        <v>98</v>
      </c>
      <c r="C7" s="6" t="s">
        <v>99</v>
      </c>
      <c r="D7" s="6" t="s">
        <v>209</v>
      </c>
      <c r="E7" s="11" t="s">
        <v>272</v>
      </c>
      <c r="F7" s="25">
        <v>34</v>
      </c>
      <c r="G7" s="8"/>
    </row>
    <row r="8" spans="1:7" ht="25.05" customHeight="1">
      <c r="A8" s="6">
        <v>5</v>
      </c>
      <c r="B8" s="7" t="s">
        <v>98</v>
      </c>
      <c r="C8" s="6" t="s">
        <v>99</v>
      </c>
      <c r="D8" s="6" t="s">
        <v>209</v>
      </c>
      <c r="E8" s="11" t="s">
        <v>214</v>
      </c>
      <c r="F8" s="25">
        <v>26</v>
      </c>
      <c r="G8" s="8"/>
    </row>
    <row r="9" spans="1:7" ht="25.05" customHeight="1">
      <c r="A9" s="6">
        <v>6</v>
      </c>
      <c r="B9" s="7" t="s">
        <v>98</v>
      </c>
      <c r="C9" s="6" t="s">
        <v>99</v>
      </c>
      <c r="D9" s="6" t="s">
        <v>209</v>
      </c>
      <c r="E9" s="11" t="s">
        <v>312</v>
      </c>
      <c r="F9" s="25">
        <v>10</v>
      </c>
      <c r="G9" s="8"/>
    </row>
    <row r="10" spans="1:7" ht="25.05" customHeight="1">
      <c r="A10" s="6">
        <v>7</v>
      </c>
      <c r="B10" s="7" t="s">
        <v>98</v>
      </c>
      <c r="C10" s="6" t="s">
        <v>99</v>
      </c>
      <c r="D10" s="6" t="s">
        <v>209</v>
      </c>
      <c r="E10" s="11" t="s">
        <v>216</v>
      </c>
      <c r="F10" s="25">
        <v>35</v>
      </c>
      <c r="G10" s="8"/>
    </row>
    <row r="11" spans="1:7" ht="25.05" customHeight="1">
      <c r="A11" s="6">
        <v>8</v>
      </c>
      <c r="B11" s="7" t="s">
        <v>98</v>
      </c>
      <c r="C11" s="6" t="s">
        <v>99</v>
      </c>
      <c r="D11" s="6" t="s">
        <v>209</v>
      </c>
      <c r="E11" s="11" t="s">
        <v>292</v>
      </c>
      <c r="F11" s="25">
        <v>18</v>
      </c>
      <c r="G11" s="8"/>
    </row>
    <row r="12" spans="1:7" ht="25.05" customHeight="1">
      <c r="A12" s="6">
        <v>9</v>
      </c>
      <c r="B12" s="7" t="s">
        <v>98</v>
      </c>
      <c r="C12" s="6" t="s">
        <v>99</v>
      </c>
      <c r="D12" s="6" t="s">
        <v>209</v>
      </c>
      <c r="E12" s="11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98</v>
      </c>
      <c r="C13" s="6" t="s">
        <v>99</v>
      </c>
      <c r="D13" s="6" t="s">
        <v>209</v>
      </c>
      <c r="E13" s="11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98</v>
      </c>
      <c r="C14" s="6" t="s">
        <v>99</v>
      </c>
      <c r="D14" s="3" t="s">
        <v>219</v>
      </c>
      <c r="E14" s="10" t="s">
        <v>220</v>
      </c>
      <c r="F14" s="79">
        <f>SUM(F4:F13)</f>
        <v>256</v>
      </c>
      <c r="G14" s="9"/>
    </row>
    <row r="15" spans="1:7" ht="25.05" customHeight="1">
      <c r="A15" s="6">
        <v>12</v>
      </c>
      <c r="B15" s="7" t="s">
        <v>98</v>
      </c>
      <c r="C15" s="6" t="s">
        <v>99</v>
      </c>
      <c r="D15" s="6" t="s">
        <v>221</v>
      </c>
      <c r="E15" s="11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98</v>
      </c>
      <c r="C16" s="6" t="s">
        <v>99</v>
      </c>
      <c r="D16" s="6" t="s">
        <v>221</v>
      </c>
      <c r="E16" s="11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98</v>
      </c>
      <c r="C17" s="6" t="s">
        <v>99</v>
      </c>
      <c r="D17" s="6" t="s">
        <v>221</v>
      </c>
      <c r="E17" s="11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98</v>
      </c>
      <c r="C18" s="6" t="s">
        <v>99</v>
      </c>
      <c r="D18" s="6" t="s">
        <v>221</v>
      </c>
      <c r="E18" s="11" t="s">
        <v>582</v>
      </c>
      <c r="F18" s="25">
        <v>25</v>
      </c>
      <c r="G18" s="8"/>
    </row>
    <row r="19" spans="1:7" ht="25.05" customHeight="1">
      <c r="A19" s="6">
        <v>16</v>
      </c>
      <c r="B19" s="7" t="s">
        <v>98</v>
      </c>
      <c r="C19" s="6" t="s">
        <v>99</v>
      </c>
      <c r="D19" s="6" t="s">
        <v>221</v>
      </c>
      <c r="E19" s="11" t="s">
        <v>294</v>
      </c>
      <c r="F19" s="25">
        <v>27</v>
      </c>
      <c r="G19" s="8"/>
    </row>
    <row r="20" spans="1:7" ht="25.05" customHeight="1">
      <c r="A20" s="6">
        <v>17</v>
      </c>
      <c r="B20" s="7" t="s">
        <v>98</v>
      </c>
      <c r="C20" s="6" t="s">
        <v>99</v>
      </c>
      <c r="D20" s="6" t="s">
        <v>221</v>
      </c>
      <c r="E20" s="11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98</v>
      </c>
      <c r="C21" s="6" t="s">
        <v>99</v>
      </c>
      <c r="D21" s="3" t="s">
        <v>219</v>
      </c>
      <c r="E21" s="10" t="s">
        <v>228</v>
      </c>
      <c r="F21" s="79">
        <f>SUM(F15:F20)</f>
        <v>138</v>
      </c>
      <c r="G21" s="9"/>
    </row>
    <row r="22" spans="1:7" ht="25.05" customHeight="1">
      <c r="A22" s="6">
        <v>19</v>
      </c>
      <c r="B22" s="7" t="s">
        <v>98</v>
      </c>
      <c r="C22" s="6" t="s">
        <v>99</v>
      </c>
      <c r="D22" s="6" t="s">
        <v>229</v>
      </c>
      <c r="E22" s="11" t="s">
        <v>583</v>
      </c>
      <c r="F22" s="25">
        <v>14</v>
      </c>
      <c r="G22" s="8"/>
    </row>
    <row r="23" spans="1:7" ht="25.05" customHeight="1">
      <c r="A23" s="6">
        <v>20</v>
      </c>
      <c r="B23" s="7" t="s">
        <v>98</v>
      </c>
      <c r="C23" s="6" t="s">
        <v>99</v>
      </c>
      <c r="D23" s="6" t="s">
        <v>229</v>
      </c>
      <c r="E23" s="11" t="s">
        <v>411</v>
      </c>
      <c r="F23" s="25">
        <v>52</v>
      </c>
      <c r="G23" s="8"/>
    </row>
    <row r="24" spans="1:7" ht="25.05" customHeight="1">
      <c r="A24" s="6">
        <v>21</v>
      </c>
      <c r="B24" s="7" t="s">
        <v>98</v>
      </c>
      <c r="C24" s="6" t="s">
        <v>99</v>
      </c>
      <c r="D24" s="6" t="s">
        <v>229</v>
      </c>
      <c r="E24" s="11" t="s">
        <v>232</v>
      </c>
      <c r="F24" s="25">
        <v>20</v>
      </c>
      <c r="G24" s="8"/>
    </row>
    <row r="25" spans="1:7" ht="25.05" customHeight="1">
      <c r="A25" s="6">
        <v>22</v>
      </c>
      <c r="B25" s="7" t="s">
        <v>98</v>
      </c>
      <c r="C25" s="6" t="s">
        <v>99</v>
      </c>
      <c r="D25" s="6" t="s">
        <v>229</v>
      </c>
      <c r="E25" s="11" t="s">
        <v>233</v>
      </c>
      <c r="F25" s="25">
        <v>30</v>
      </c>
      <c r="G25" s="8"/>
    </row>
    <row r="26" spans="1:7" ht="25.05" customHeight="1">
      <c r="A26" s="6">
        <v>23</v>
      </c>
      <c r="B26" s="7" t="s">
        <v>98</v>
      </c>
      <c r="C26" s="6" t="s">
        <v>99</v>
      </c>
      <c r="D26" s="6" t="s">
        <v>229</v>
      </c>
      <c r="E26" s="11" t="s">
        <v>234</v>
      </c>
      <c r="F26" s="25">
        <v>25</v>
      </c>
      <c r="G26" s="8"/>
    </row>
    <row r="27" spans="1:7" ht="25.05" customHeight="1">
      <c r="A27" s="6">
        <v>24</v>
      </c>
      <c r="B27" s="7" t="s">
        <v>98</v>
      </c>
      <c r="C27" s="6" t="s">
        <v>99</v>
      </c>
      <c r="D27" s="6" t="s">
        <v>229</v>
      </c>
      <c r="E27" s="11" t="s">
        <v>237</v>
      </c>
      <c r="F27" s="25">
        <v>10</v>
      </c>
      <c r="G27" s="8"/>
    </row>
    <row r="28" spans="1:7" ht="25.05" customHeight="1">
      <c r="A28" s="6">
        <v>25</v>
      </c>
      <c r="B28" s="7" t="s">
        <v>98</v>
      </c>
      <c r="C28" s="6" t="s">
        <v>99</v>
      </c>
      <c r="D28" s="6" t="s">
        <v>229</v>
      </c>
      <c r="E28" s="11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98</v>
      </c>
      <c r="C29" s="6" t="s">
        <v>99</v>
      </c>
      <c r="D29" s="6" t="s">
        <v>229</v>
      </c>
      <c r="E29" s="96" t="s">
        <v>585</v>
      </c>
      <c r="F29" s="25">
        <v>20</v>
      </c>
      <c r="G29" s="8"/>
    </row>
    <row r="30" spans="1:7" ht="25.05" customHeight="1">
      <c r="A30" s="6">
        <v>27</v>
      </c>
      <c r="B30" s="7" t="s">
        <v>98</v>
      </c>
      <c r="C30" s="6" t="s">
        <v>99</v>
      </c>
      <c r="D30" s="3" t="s">
        <v>219</v>
      </c>
      <c r="E30" s="10" t="s">
        <v>238</v>
      </c>
      <c r="F30" s="79">
        <v>181</v>
      </c>
      <c r="G30" s="9"/>
    </row>
    <row r="31" spans="1:7" ht="32" customHeight="1">
      <c r="A31" s="6">
        <v>28</v>
      </c>
      <c r="B31" s="7" t="s">
        <v>98</v>
      </c>
      <c r="C31" s="6" t="s">
        <v>99</v>
      </c>
      <c r="D31" s="6" t="s">
        <v>239</v>
      </c>
      <c r="E31" s="11" t="s">
        <v>240</v>
      </c>
      <c r="F31" s="25">
        <v>90</v>
      </c>
      <c r="G31" s="8"/>
    </row>
    <row r="32" spans="1:7" ht="33.5" customHeight="1">
      <c r="A32" s="6">
        <v>29</v>
      </c>
      <c r="B32" s="7" t="s">
        <v>98</v>
      </c>
      <c r="C32" s="6" t="s">
        <v>99</v>
      </c>
      <c r="D32" s="6" t="s">
        <v>239</v>
      </c>
      <c r="E32" s="11" t="s">
        <v>241</v>
      </c>
      <c r="F32" s="25">
        <v>60</v>
      </c>
      <c r="G32" s="8"/>
    </row>
    <row r="33" spans="1:7" ht="25.05" customHeight="1">
      <c r="A33" s="6">
        <v>30</v>
      </c>
      <c r="B33" s="7" t="s">
        <v>98</v>
      </c>
      <c r="C33" s="6" t="s">
        <v>99</v>
      </c>
      <c r="D33" s="3" t="s">
        <v>219</v>
      </c>
      <c r="E33" s="10" t="s">
        <v>242</v>
      </c>
      <c r="F33" s="79">
        <f>SUM(F31:F32)</f>
        <v>150</v>
      </c>
      <c r="G33" s="9"/>
    </row>
    <row r="34" spans="1:7" ht="25.05" customHeight="1">
      <c r="A34" s="6">
        <v>31</v>
      </c>
      <c r="B34" s="7" t="s">
        <v>98</v>
      </c>
      <c r="C34" s="6" t="s">
        <v>99</v>
      </c>
      <c r="D34" s="6" t="s">
        <v>249</v>
      </c>
      <c r="E34" s="11" t="s">
        <v>490</v>
      </c>
      <c r="F34" s="25">
        <v>6</v>
      </c>
      <c r="G34" s="8"/>
    </row>
    <row r="35" spans="1:7" ht="25.05" customHeight="1">
      <c r="A35" s="6">
        <v>32</v>
      </c>
      <c r="B35" s="7" t="s">
        <v>98</v>
      </c>
      <c r="C35" s="6" t="s">
        <v>99</v>
      </c>
      <c r="D35" s="6" t="s">
        <v>249</v>
      </c>
      <c r="E35" s="11" t="s">
        <v>491</v>
      </c>
      <c r="F35" s="25">
        <v>6</v>
      </c>
      <c r="G35" s="8"/>
    </row>
    <row r="36" spans="1:7" ht="25.05" customHeight="1">
      <c r="A36" s="6">
        <v>33</v>
      </c>
      <c r="B36" s="7" t="s">
        <v>98</v>
      </c>
      <c r="C36" s="6" t="s">
        <v>99</v>
      </c>
      <c r="D36" s="6" t="s">
        <v>249</v>
      </c>
      <c r="E36" s="11" t="s">
        <v>595</v>
      </c>
      <c r="F36" s="25">
        <v>36</v>
      </c>
      <c r="G36" s="8"/>
    </row>
    <row r="37" spans="1:7" ht="25.05" customHeight="1">
      <c r="A37" s="6">
        <v>34</v>
      </c>
      <c r="B37" s="7" t="s">
        <v>98</v>
      </c>
      <c r="C37" s="6" t="s">
        <v>99</v>
      </c>
      <c r="D37" s="6" t="s">
        <v>249</v>
      </c>
      <c r="E37" s="11" t="s">
        <v>493</v>
      </c>
      <c r="F37" s="25">
        <v>6</v>
      </c>
      <c r="G37" s="8"/>
    </row>
    <row r="38" spans="1:7" ht="25.05" customHeight="1">
      <c r="A38" s="6">
        <v>35</v>
      </c>
      <c r="B38" s="7" t="s">
        <v>98</v>
      </c>
      <c r="C38" s="6" t="s">
        <v>99</v>
      </c>
      <c r="D38" s="6" t="s">
        <v>249</v>
      </c>
      <c r="E38" s="11" t="s">
        <v>322</v>
      </c>
      <c r="F38" s="25">
        <v>2</v>
      </c>
      <c r="G38" s="8"/>
    </row>
    <row r="39" spans="1:7" ht="25.05" customHeight="1">
      <c r="A39" s="6">
        <v>36</v>
      </c>
      <c r="B39" s="7" t="s">
        <v>98</v>
      </c>
      <c r="C39" s="6" t="s">
        <v>99</v>
      </c>
      <c r="D39" s="6" t="s">
        <v>249</v>
      </c>
      <c r="E39" s="11" t="s">
        <v>605</v>
      </c>
      <c r="F39" s="25">
        <v>10</v>
      </c>
      <c r="G39" s="8"/>
    </row>
    <row r="40" spans="1:7" ht="25.05" customHeight="1">
      <c r="A40" s="6">
        <v>37</v>
      </c>
      <c r="B40" s="7" t="s">
        <v>98</v>
      </c>
      <c r="C40" s="6" t="s">
        <v>99</v>
      </c>
      <c r="D40" s="6" t="s">
        <v>249</v>
      </c>
      <c r="E40" s="11" t="s">
        <v>606</v>
      </c>
      <c r="F40" s="25">
        <v>5</v>
      </c>
      <c r="G40" s="8"/>
    </row>
    <row r="41" spans="1:7" ht="25.05" customHeight="1">
      <c r="A41" s="6">
        <v>38</v>
      </c>
      <c r="B41" s="7" t="s">
        <v>98</v>
      </c>
      <c r="C41" s="6" t="s">
        <v>99</v>
      </c>
      <c r="D41" s="3" t="s">
        <v>219</v>
      </c>
      <c r="E41" s="10" t="s">
        <v>255</v>
      </c>
      <c r="F41" s="79">
        <f>SUM(F34:F40)</f>
        <v>71</v>
      </c>
      <c r="G41" s="9"/>
    </row>
    <row r="42" spans="1:7" ht="25.05" customHeight="1">
      <c r="A42" s="6">
        <v>39</v>
      </c>
      <c r="B42" s="7" t="s">
        <v>98</v>
      </c>
      <c r="C42" s="6" t="s">
        <v>99</v>
      </c>
      <c r="D42" s="76" t="s">
        <v>259</v>
      </c>
      <c r="E42" s="115" t="s">
        <v>607</v>
      </c>
      <c r="F42" s="110">
        <v>5</v>
      </c>
      <c r="G42" s="8"/>
    </row>
    <row r="43" spans="1:7" ht="25.05" customHeight="1">
      <c r="A43" s="6">
        <v>40</v>
      </c>
      <c r="B43" s="7" t="s">
        <v>98</v>
      </c>
      <c r="C43" s="6" t="s">
        <v>99</v>
      </c>
      <c r="D43" s="76" t="s">
        <v>259</v>
      </c>
      <c r="E43" s="115" t="s">
        <v>608</v>
      </c>
      <c r="F43" s="110">
        <v>25</v>
      </c>
      <c r="G43" s="8"/>
    </row>
    <row r="44" spans="1:7" ht="25.05" customHeight="1">
      <c r="A44" s="6">
        <v>41</v>
      </c>
      <c r="B44" s="7" t="s">
        <v>98</v>
      </c>
      <c r="C44" s="6" t="s">
        <v>99</v>
      </c>
      <c r="D44" s="76" t="s">
        <v>259</v>
      </c>
      <c r="E44" s="115" t="s">
        <v>609</v>
      </c>
      <c r="F44" s="110">
        <v>5</v>
      </c>
      <c r="G44" s="8"/>
    </row>
    <row r="45" spans="1:7" ht="25.05" customHeight="1">
      <c r="A45" s="6">
        <v>42</v>
      </c>
      <c r="B45" s="7" t="s">
        <v>98</v>
      </c>
      <c r="C45" s="6" t="s">
        <v>99</v>
      </c>
      <c r="D45" s="3" t="s">
        <v>219</v>
      </c>
      <c r="E45" s="10" t="s">
        <v>261</v>
      </c>
      <c r="F45" s="79">
        <f>SUM(F42:F44)</f>
        <v>35</v>
      </c>
      <c r="G45" s="9"/>
    </row>
    <row r="46" spans="1:7" ht="25.05" customHeight="1">
      <c r="A46" s="6">
        <v>43</v>
      </c>
      <c r="B46" s="7" t="s">
        <v>98</v>
      </c>
      <c r="C46" s="6" t="s">
        <v>99</v>
      </c>
      <c r="D46" s="6" t="s">
        <v>262</v>
      </c>
      <c r="E46" s="11" t="s">
        <v>263</v>
      </c>
      <c r="F46" s="25">
        <v>150</v>
      </c>
      <c r="G46" s="8"/>
    </row>
    <row r="47" spans="1:7" ht="25.05" customHeight="1">
      <c r="A47" s="6">
        <v>44</v>
      </c>
      <c r="B47" s="7" t="s">
        <v>98</v>
      </c>
      <c r="C47" s="6" t="s">
        <v>99</v>
      </c>
      <c r="D47" s="6" t="s">
        <v>262</v>
      </c>
      <c r="E47" s="11" t="s">
        <v>265</v>
      </c>
      <c r="F47" s="25">
        <v>40</v>
      </c>
      <c r="G47" s="8"/>
    </row>
    <row r="48" spans="1:7" ht="25.05" customHeight="1">
      <c r="A48" s="6">
        <v>45</v>
      </c>
      <c r="B48" s="7" t="s">
        <v>98</v>
      </c>
      <c r="C48" s="6" t="s">
        <v>99</v>
      </c>
      <c r="D48" s="6" t="s">
        <v>262</v>
      </c>
      <c r="E48" s="11" t="s">
        <v>264</v>
      </c>
      <c r="F48" s="25">
        <v>40</v>
      </c>
      <c r="G48" s="8"/>
    </row>
    <row r="49" spans="1:7" ht="25.05" customHeight="1">
      <c r="A49" s="6">
        <v>46</v>
      </c>
      <c r="B49" s="7" t="s">
        <v>98</v>
      </c>
      <c r="C49" s="6" t="s">
        <v>99</v>
      </c>
      <c r="D49" s="6" t="s">
        <v>262</v>
      </c>
      <c r="E49" s="11" t="s">
        <v>591</v>
      </c>
      <c r="F49" s="25">
        <v>40</v>
      </c>
      <c r="G49" s="8"/>
    </row>
    <row r="50" spans="1:7" ht="25.05" customHeight="1">
      <c r="A50" s="6">
        <v>47</v>
      </c>
      <c r="B50" s="7" t="s">
        <v>98</v>
      </c>
      <c r="C50" s="6" t="s">
        <v>99</v>
      </c>
      <c r="D50" s="3" t="s">
        <v>219</v>
      </c>
      <c r="E50" s="10" t="s">
        <v>266</v>
      </c>
      <c r="F50" s="79">
        <v>270</v>
      </c>
      <c r="G50" s="9"/>
    </row>
    <row r="51" spans="1:7" ht="32.549999999999997" customHeight="1">
      <c r="A51" s="6">
        <v>48</v>
      </c>
      <c r="B51" s="7" t="s">
        <v>98</v>
      </c>
      <c r="C51" s="6" t="s">
        <v>99</v>
      </c>
      <c r="D51" s="5" t="s">
        <v>267</v>
      </c>
      <c r="E51" s="10" t="s">
        <v>610</v>
      </c>
      <c r="F51" s="10">
        <v>1101</v>
      </c>
      <c r="G51" s="9"/>
    </row>
    <row r="52" spans="1:7" ht="25.05" customHeight="1">
      <c r="A52" s="219" t="s">
        <v>269</v>
      </c>
      <c r="B52" s="219"/>
      <c r="C52" s="219"/>
      <c r="D52" s="219"/>
      <c r="E52" s="219"/>
      <c r="F52" s="219"/>
      <c r="G52" s="219"/>
    </row>
  </sheetData>
  <autoFilter ref="A3:G52" xr:uid="{00000000-0009-0000-0000-00001E000000}"/>
  <mergeCells count="3">
    <mergeCell ref="A1:G1"/>
    <mergeCell ref="A2:G2"/>
    <mergeCell ref="A52:G52"/>
  </mergeCells>
  <phoneticPr fontId="23" type="noConversion"/>
  <pageMargins left="0.59055118110236204" right="0.196850393700787" top="0.35433070866141703" bottom="0.511811023622047" header="0.31496062992126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I61"/>
  <sheetViews>
    <sheetView view="pageBreakPreview" zoomScale="115" zoomScaleNormal="100" workbookViewId="0">
      <selection activeCell="E57" sqref="E57"/>
    </sheetView>
  </sheetViews>
  <sheetFormatPr defaultColWidth="9" defaultRowHeight="19.05" customHeight="1"/>
  <cols>
    <col min="1" max="1" width="4.06640625" style="100" customWidth="1"/>
    <col min="2" max="2" width="9" style="101" customWidth="1"/>
    <col min="3" max="3" width="18.265625" style="100" customWidth="1"/>
    <col min="4" max="4" width="11.06640625" style="100" customWidth="1"/>
    <col min="5" max="5" width="39.06640625" style="100" customWidth="1"/>
    <col min="6" max="6" width="5.9296875" style="113" customWidth="1"/>
    <col min="7" max="7" width="7.265625" style="100" customWidth="1"/>
  </cols>
  <sheetData>
    <row r="1" spans="1:7" ht="25.05" customHeight="1">
      <c r="A1" s="215" t="s">
        <v>611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612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98</v>
      </c>
      <c r="C4" s="6" t="s">
        <v>613</v>
      </c>
      <c r="D4" s="6" t="s">
        <v>209</v>
      </c>
      <c r="E4" s="8" t="s">
        <v>614</v>
      </c>
      <c r="F4" s="25">
        <v>38</v>
      </c>
      <c r="G4" s="8"/>
    </row>
    <row r="5" spans="1:7" ht="25.05" customHeight="1">
      <c r="A5" s="6">
        <v>2</v>
      </c>
      <c r="B5" s="7" t="s">
        <v>98</v>
      </c>
      <c r="C5" s="6" t="s">
        <v>613</v>
      </c>
      <c r="D5" s="6" t="s">
        <v>209</v>
      </c>
      <c r="E5" s="8" t="s">
        <v>615</v>
      </c>
      <c r="F5" s="25">
        <v>30</v>
      </c>
      <c r="G5" s="8"/>
    </row>
    <row r="6" spans="1:7" ht="25.05" customHeight="1">
      <c r="A6" s="6">
        <v>3</v>
      </c>
      <c r="B6" s="7" t="s">
        <v>98</v>
      </c>
      <c r="C6" s="6" t="s">
        <v>613</v>
      </c>
      <c r="D6" s="6" t="s">
        <v>209</v>
      </c>
      <c r="E6" s="8" t="s">
        <v>616</v>
      </c>
      <c r="F6" s="25">
        <v>280</v>
      </c>
      <c r="G6" s="8"/>
    </row>
    <row r="7" spans="1:7" ht="25.05" customHeight="1">
      <c r="A7" s="6">
        <v>4</v>
      </c>
      <c r="B7" s="7" t="s">
        <v>98</v>
      </c>
      <c r="C7" s="6" t="s">
        <v>613</v>
      </c>
      <c r="D7" s="6" t="s">
        <v>209</v>
      </c>
      <c r="E7" s="8" t="s">
        <v>617</v>
      </c>
      <c r="F7" s="25">
        <v>20</v>
      </c>
      <c r="G7" s="8"/>
    </row>
    <row r="8" spans="1:7" ht="25.05" customHeight="1">
      <c r="A8" s="6">
        <v>5</v>
      </c>
      <c r="B8" s="7" t="s">
        <v>98</v>
      </c>
      <c r="C8" s="6" t="s">
        <v>613</v>
      </c>
      <c r="D8" s="6" t="s">
        <v>209</v>
      </c>
      <c r="E8" s="8" t="s">
        <v>618</v>
      </c>
      <c r="F8" s="25">
        <v>70</v>
      </c>
      <c r="G8" s="8"/>
    </row>
    <row r="9" spans="1:7" ht="25.05" customHeight="1">
      <c r="A9" s="6">
        <v>6</v>
      </c>
      <c r="B9" s="7" t="s">
        <v>98</v>
      </c>
      <c r="C9" s="6" t="s">
        <v>613</v>
      </c>
      <c r="D9" s="6" t="s">
        <v>209</v>
      </c>
      <c r="E9" s="8" t="s">
        <v>619</v>
      </c>
      <c r="F9" s="25">
        <v>24</v>
      </c>
      <c r="G9" s="8"/>
    </row>
    <row r="10" spans="1:7" ht="25.05" customHeight="1">
      <c r="A10" s="6">
        <v>7</v>
      </c>
      <c r="B10" s="7" t="s">
        <v>98</v>
      </c>
      <c r="C10" s="6" t="s">
        <v>613</v>
      </c>
      <c r="D10" s="6" t="s">
        <v>209</v>
      </c>
      <c r="E10" s="8" t="s">
        <v>620</v>
      </c>
      <c r="F10" s="25">
        <v>100</v>
      </c>
      <c r="G10" s="8"/>
    </row>
    <row r="11" spans="1:7" ht="25.05" customHeight="1">
      <c r="A11" s="6">
        <v>8</v>
      </c>
      <c r="B11" s="7" t="s">
        <v>98</v>
      </c>
      <c r="C11" s="6" t="s">
        <v>613</v>
      </c>
      <c r="D11" s="6" t="s">
        <v>209</v>
      </c>
      <c r="E11" s="8" t="s">
        <v>621</v>
      </c>
      <c r="F11" s="25">
        <v>20</v>
      </c>
      <c r="G11" s="8"/>
    </row>
    <row r="12" spans="1:7" ht="25.05" customHeight="1">
      <c r="A12" s="6">
        <v>9</v>
      </c>
      <c r="B12" s="7" t="s">
        <v>98</v>
      </c>
      <c r="C12" s="6" t="s">
        <v>613</v>
      </c>
      <c r="D12" s="3" t="s">
        <v>219</v>
      </c>
      <c r="E12" s="9" t="s">
        <v>220</v>
      </c>
      <c r="F12" s="79">
        <f>SUM(F4:F11)</f>
        <v>582</v>
      </c>
      <c r="G12" s="9"/>
    </row>
    <row r="13" spans="1:7" ht="25.05" customHeight="1">
      <c r="A13" s="6">
        <v>10</v>
      </c>
      <c r="B13" s="7" t="s">
        <v>98</v>
      </c>
      <c r="C13" s="6" t="s">
        <v>613</v>
      </c>
      <c r="D13" s="6" t="s">
        <v>221</v>
      </c>
      <c r="E13" s="8" t="s">
        <v>581</v>
      </c>
      <c r="F13" s="25">
        <v>14</v>
      </c>
      <c r="G13" s="8"/>
    </row>
    <row r="14" spans="1:7" ht="25.05" customHeight="1">
      <c r="A14" s="6">
        <v>11</v>
      </c>
      <c r="B14" s="7" t="s">
        <v>98</v>
      </c>
      <c r="C14" s="6" t="s">
        <v>613</v>
      </c>
      <c r="D14" s="6" t="s">
        <v>221</v>
      </c>
      <c r="E14" s="8" t="s">
        <v>410</v>
      </c>
      <c r="F14" s="25">
        <v>42</v>
      </c>
      <c r="G14" s="8"/>
    </row>
    <row r="15" spans="1:7" ht="25.05" customHeight="1">
      <c r="A15" s="6">
        <v>12</v>
      </c>
      <c r="B15" s="7" t="s">
        <v>98</v>
      </c>
      <c r="C15" s="6" t="s">
        <v>613</v>
      </c>
      <c r="D15" s="6" t="s">
        <v>221</v>
      </c>
      <c r="E15" s="8" t="s">
        <v>224</v>
      </c>
      <c r="F15" s="25">
        <v>12</v>
      </c>
      <c r="G15" s="8"/>
    </row>
    <row r="16" spans="1:7" ht="25.05" customHeight="1">
      <c r="A16" s="6">
        <v>13</v>
      </c>
      <c r="B16" s="7" t="s">
        <v>98</v>
      </c>
      <c r="C16" s="6" t="s">
        <v>613</v>
      </c>
      <c r="D16" s="6" t="s">
        <v>221</v>
      </c>
      <c r="E16" s="8" t="s">
        <v>582</v>
      </c>
      <c r="F16" s="25">
        <v>25</v>
      </c>
      <c r="G16" s="8"/>
    </row>
    <row r="17" spans="1:9" ht="25.05" customHeight="1">
      <c r="A17" s="6">
        <v>14</v>
      </c>
      <c r="B17" s="7" t="s">
        <v>98</v>
      </c>
      <c r="C17" s="6" t="s">
        <v>613</v>
      </c>
      <c r="D17" s="6" t="s">
        <v>221</v>
      </c>
      <c r="E17" s="8" t="s">
        <v>294</v>
      </c>
      <c r="F17" s="25">
        <v>27</v>
      </c>
      <c r="G17" s="8"/>
    </row>
    <row r="18" spans="1:9" ht="25.05" customHeight="1">
      <c r="A18" s="6">
        <v>15</v>
      </c>
      <c r="B18" s="7" t="s">
        <v>98</v>
      </c>
      <c r="C18" s="6" t="s">
        <v>613</v>
      </c>
      <c r="D18" s="6" t="s">
        <v>221</v>
      </c>
      <c r="E18" s="8" t="s">
        <v>227</v>
      </c>
      <c r="F18" s="25">
        <v>20</v>
      </c>
      <c r="G18" s="8"/>
    </row>
    <row r="19" spans="1:9" ht="25.05" customHeight="1">
      <c r="A19" s="6">
        <v>16</v>
      </c>
      <c r="B19" s="7" t="s">
        <v>98</v>
      </c>
      <c r="C19" s="6" t="s">
        <v>613</v>
      </c>
      <c r="D19" s="3" t="s">
        <v>219</v>
      </c>
      <c r="E19" s="9" t="s">
        <v>228</v>
      </c>
      <c r="F19" s="79">
        <f>SUM(F13:F18)</f>
        <v>140</v>
      </c>
      <c r="G19" s="9"/>
    </row>
    <row r="20" spans="1:9" ht="25.05" customHeight="1">
      <c r="A20" s="6">
        <v>17</v>
      </c>
      <c r="B20" s="7" t="s">
        <v>98</v>
      </c>
      <c r="C20" s="6" t="s">
        <v>613</v>
      </c>
      <c r="D20" s="6" t="s">
        <v>229</v>
      </c>
      <c r="E20" s="8" t="s">
        <v>622</v>
      </c>
      <c r="F20" s="25">
        <v>7</v>
      </c>
      <c r="G20" s="8"/>
    </row>
    <row r="21" spans="1:9" ht="25.05" customHeight="1">
      <c r="A21" s="6">
        <v>18</v>
      </c>
      <c r="B21" s="7" t="s">
        <v>98</v>
      </c>
      <c r="C21" s="6" t="s">
        <v>613</v>
      </c>
      <c r="D21" s="6" t="s">
        <v>229</v>
      </c>
      <c r="E21" s="8" t="s">
        <v>623</v>
      </c>
      <c r="F21" s="25">
        <v>50</v>
      </c>
      <c r="G21" s="8"/>
    </row>
    <row r="22" spans="1:9" ht="25.05" customHeight="1">
      <c r="A22" s="6">
        <v>19</v>
      </c>
      <c r="B22" s="7" t="s">
        <v>98</v>
      </c>
      <c r="C22" s="6" t="s">
        <v>613</v>
      </c>
      <c r="D22" s="6" t="s">
        <v>229</v>
      </c>
      <c r="E22" s="8" t="s">
        <v>624</v>
      </c>
      <c r="F22" s="25">
        <v>15</v>
      </c>
      <c r="G22" s="8"/>
    </row>
    <row r="23" spans="1:9" ht="25.05" customHeight="1">
      <c r="A23" s="6">
        <v>20</v>
      </c>
      <c r="B23" s="7" t="s">
        <v>98</v>
      </c>
      <c r="C23" s="6" t="s">
        <v>613</v>
      </c>
      <c r="D23" s="6" t="s">
        <v>229</v>
      </c>
      <c r="E23" s="8" t="s">
        <v>625</v>
      </c>
      <c r="F23" s="25">
        <v>30</v>
      </c>
      <c r="G23" s="8"/>
    </row>
    <row r="24" spans="1:9" ht="25.05" customHeight="1">
      <c r="A24" s="6">
        <v>21</v>
      </c>
      <c r="B24" s="7" t="s">
        <v>98</v>
      </c>
      <c r="C24" s="6" t="s">
        <v>613</v>
      </c>
      <c r="D24" s="6" t="s">
        <v>229</v>
      </c>
      <c r="E24" s="8" t="s">
        <v>626</v>
      </c>
      <c r="F24" s="25">
        <v>8</v>
      </c>
      <c r="G24" s="8"/>
    </row>
    <row r="25" spans="1:9" ht="25.05" customHeight="1">
      <c r="A25" s="6">
        <v>22</v>
      </c>
      <c r="B25" s="7" t="s">
        <v>98</v>
      </c>
      <c r="C25" s="6" t="s">
        <v>613</v>
      </c>
      <c r="D25" s="6" t="s">
        <v>229</v>
      </c>
      <c r="E25" s="8" t="s">
        <v>627</v>
      </c>
      <c r="F25" s="25">
        <v>10</v>
      </c>
      <c r="G25" s="8"/>
    </row>
    <row r="26" spans="1:9" ht="25.05" customHeight="1">
      <c r="A26" s="6">
        <v>23</v>
      </c>
      <c r="B26" s="7" t="s">
        <v>98</v>
      </c>
      <c r="C26" s="6" t="s">
        <v>613</v>
      </c>
      <c r="D26" s="6" t="s">
        <v>229</v>
      </c>
      <c r="E26" s="8" t="s">
        <v>628</v>
      </c>
      <c r="F26" s="25">
        <v>60</v>
      </c>
      <c r="G26" s="8"/>
    </row>
    <row r="27" spans="1:9" ht="25.05" customHeight="1">
      <c r="A27" s="6">
        <v>24</v>
      </c>
      <c r="B27" s="7" t="s">
        <v>98</v>
      </c>
      <c r="C27" s="6" t="s">
        <v>613</v>
      </c>
      <c r="D27" s="3" t="s">
        <v>219</v>
      </c>
      <c r="E27" s="9" t="s">
        <v>238</v>
      </c>
      <c r="F27" s="79">
        <f>SUM(F20:F26)</f>
        <v>180</v>
      </c>
      <c r="G27" s="9"/>
      <c r="I27" s="108"/>
    </row>
    <row r="28" spans="1:9" ht="25.05" customHeight="1">
      <c r="A28" s="6">
        <v>25</v>
      </c>
      <c r="B28" s="7" t="s">
        <v>98</v>
      </c>
      <c r="C28" s="6" t="s">
        <v>613</v>
      </c>
      <c r="D28" s="6" t="s">
        <v>629</v>
      </c>
      <c r="E28" s="8" t="s">
        <v>630</v>
      </c>
      <c r="F28" s="25">
        <v>10</v>
      </c>
      <c r="G28" s="8"/>
    </row>
    <row r="29" spans="1:9" ht="25.05" customHeight="1">
      <c r="A29" s="6">
        <v>26</v>
      </c>
      <c r="B29" s="7" t="s">
        <v>98</v>
      </c>
      <c r="C29" s="6" t="s">
        <v>613</v>
      </c>
      <c r="D29" s="6" t="s">
        <v>629</v>
      </c>
      <c r="E29" s="8" t="s">
        <v>631</v>
      </c>
      <c r="F29" s="25">
        <v>40</v>
      </c>
      <c r="G29" s="8"/>
    </row>
    <row r="30" spans="1:9" ht="25.05" customHeight="1">
      <c r="A30" s="6">
        <v>27</v>
      </c>
      <c r="B30" s="7" t="s">
        <v>98</v>
      </c>
      <c r="C30" s="6" t="s">
        <v>613</v>
      </c>
      <c r="D30" s="6" t="s">
        <v>629</v>
      </c>
      <c r="E30" s="8" t="s">
        <v>632</v>
      </c>
      <c r="F30" s="25">
        <v>20</v>
      </c>
      <c r="G30" s="8"/>
    </row>
    <row r="31" spans="1:9" ht="25.05" customHeight="1">
      <c r="A31" s="6">
        <v>28</v>
      </c>
      <c r="B31" s="7" t="s">
        <v>98</v>
      </c>
      <c r="C31" s="6" t="s">
        <v>613</v>
      </c>
      <c r="D31" s="6" t="s">
        <v>629</v>
      </c>
      <c r="E31" s="8" t="s">
        <v>633</v>
      </c>
      <c r="F31" s="25">
        <v>25</v>
      </c>
      <c r="G31" s="8"/>
    </row>
    <row r="32" spans="1:9" ht="25.05" customHeight="1">
      <c r="A32" s="6">
        <v>29</v>
      </c>
      <c r="B32" s="7" t="s">
        <v>98</v>
      </c>
      <c r="C32" s="6" t="s">
        <v>613</v>
      </c>
      <c r="D32" s="6" t="s">
        <v>629</v>
      </c>
      <c r="E32" s="8" t="s">
        <v>634</v>
      </c>
      <c r="F32" s="25">
        <v>10</v>
      </c>
      <c r="G32" s="8"/>
    </row>
    <row r="33" spans="1:7" ht="25.05" customHeight="1">
      <c r="A33" s="6">
        <v>30</v>
      </c>
      <c r="B33" s="7" t="s">
        <v>98</v>
      </c>
      <c r="C33" s="6" t="s">
        <v>613</v>
      </c>
      <c r="D33" s="6" t="s">
        <v>629</v>
      </c>
      <c r="E33" s="8" t="s">
        <v>635</v>
      </c>
      <c r="F33" s="25">
        <v>30</v>
      </c>
      <c r="G33" s="8"/>
    </row>
    <row r="34" spans="1:7" ht="25.05" customHeight="1">
      <c r="A34" s="6">
        <v>31</v>
      </c>
      <c r="B34" s="7" t="s">
        <v>98</v>
      </c>
      <c r="C34" s="6" t="s">
        <v>613</v>
      </c>
      <c r="D34" s="6" t="s">
        <v>629</v>
      </c>
      <c r="E34" s="8" t="s">
        <v>636</v>
      </c>
      <c r="F34" s="25">
        <v>60</v>
      </c>
      <c r="G34" s="8"/>
    </row>
    <row r="35" spans="1:7" ht="25.05" customHeight="1">
      <c r="A35" s="6">
        <v>32</v>
      </c>
      <c r="B35" s="7" t="s">
        <v>98</v>
      </c>
      <c r="C35" s="6" t="s">
        <v>613</v>
      </c>
      <c r="D35" s="6" t="s">
        <v>629</v>
      </c>
      <c r="E35" s="8" t="s">
        <v>637</v>
      </c>
      <c r="F35" s="25">
        <v>10</v>
      </c>
      <c r="G35" s="8"/>
    </row>
    <row r="36" spans="1:7" ht="25.05" customHeight="1">
      <c r="A36" s="6">
        <v>33</v>
      </c>
      <c r="B36" s="7" t="s">
        <v>98</v>
      </c>
      <c r="C36" s="6" t="s">
        <v>613</v>
      </c>
      <c r="D36" s="6" t="s">
        <v>629</v>
      </c>
      <c r="E36" s="8" t="s">
        <v>638</v>
      </c>
      <c r="F36" s="25">
        <v>20</v>
      </c>
      <c r="G36" s="8"/>
    </row>
    <row r="37" spans="1:7" ht="25.05" customHeight="1">
      <c r="A37" s="6">
        <v>34</v>
      </c>
      <c r="B37" s="7" t="s">
        <v>98</v>
      </c>
      <c r="C37" s="6" t="s">
        <v>613</v>
      </c>
      <c r="D37" s="3" t="s">
        <v>219</v>
      </c>
      <c r="E37" s="9" t="s">
        <v>639</v>
      </c>
      <c r="F37" s="79">
        <v>225</v>
      </c>
      <c r="G37" s="9"/>
    </row>
    <row r="38" spans="1:7" ht="25.05" customHeight="1">
      <c r="A38" s="6">
        <v>35</v>
      </c>
      <c r="B38" s="7" t="s">
        <v>98</v>
      </c>
      <c r="C38" s="6" t="s">
        <v>613</v>
      </c>
      <c r="D38" s="6" t="s">
        <v>401</v>
      </c>
      <c r="E38" s="8" t="s">
        <v>640</v>
      </c>
      <c r="F38" s="25">
        <v>17</v>
      </c>
      <c r="G38" s="8"/>
    </row>
    <row r="39" spans="1:7" ht="25.05" customHeight="1">
      <c r="A39" s="6">
        <v>36</v>
      </c>
      <c r="B39" s="7" t="s">
        <v>98</v>
      </c>
      <c r="C39" s="6" t="s">
        <v>613</v>
      </c>
      <c r="D39" s="6" t="s">
        <v>401</v>
      </c>
      <c r="E39" s="8" t="s">
        <v>641</v>
      </c>
      <c r="F39" s="25">
        <v>17</v>
      </c>
      <c r="G39" s="8"/>
    </row>
    <row r="40" spans="1:7" ht="25.05" customHeight="1">
      <c r="A40" s="6">
        <v>37</v>
      </c>
      <c r="B40" s="7" t="s">
        <v>98</v>
      </c>
      <c r="C40" s="6" t="s">
        <v>613</v>
      </c>
      <c r="D40" s="6" t="s">
        <v>401</v>
      </c>
      <c r="E40" s="8" t="s">
        <v>642</v>
      </c>
      <c r="F40" s="25">
        <v>70</v>
      </c>
      <c r="G40" s="8"/>
    </row>
    <row r="41" spans="1:7" ht="25.05" customHeight="1">
      <c r="A41" s="6">
        <v>38</v>
      </c>
      <c r="B41" s="7" t="s">
        <v>98</v>
      </c>
      <c r="C41" s="6" t="s">
        <v>613</v>
      </c>
      <c r="D41" s="6" t="s">
        <v>401</v>
      </c>
      <c r="E41" s="8" t="s">
        <v>643</v>
      </c>
      <c r="F41" s="25">
        <v>30</v>
      </c>
      <c r="G41" s="8"/>
    </row>
    <row r="42" spans="1:7" ht="25.05" customHeight="1">
      <c r="A42" s="6">
        <v>39</v>
      </c>
      <c r="B42" s="7" t="s">
        <v>98</v>
      </c>
      <c r="C42" s="6" t="s">
        <v>613</v>
      </c>
      <c r="D42" s="6" t="s">
        <v>401</v>
      </c>
      <c r="E42" s="8" t="s">
        <v>644</v>
      </c>
      <c r="F42" s="25">
        <v>20</v>
      </c>
      <c r="G42" s="8"/>
    </row>
    <row r="43" spans="1:7" ht="25.05" customHeight="1">
      <c r="A43" s="6">
        <v>40</v>
      </c>
      <c r="B43" s="7" t="s">
        <v>98</v>
      </c>
      <c r="C43" s="6" t="s">
        <v>613</v>
      </c>
      <c r="D43" s="6" t="s">
        <v>401</v>
      </c>
      <c r="E43" s="8" t="s">
        <v>645</v>
      </c>
      <c r="F43" s="25">
        <v>120</v>
      </c>
      <c r="G43" s="8"/>
    </row>
    <row r="44" spans="1:7" ht="25.05" customHeight="1">
      <c r="A44" s="6">
        <v>41</v>
      </c>
      <c r="B44" s="7" t="s">
        <v>98</v>
      </c>
      <c r="C44" s="6" t="s">
        <v>613</v>
      </c>
      <c r="D44" s="6" t="s">
        <v>401</v>
      </c>
      <c r="E44" s="8" t="s">
        <v>646</v>
      </c>
      <c r="F44" s="25">
        <v>10</v>
      </c>
      <c r="G44" s="8"/>
    </row>
    <row r="45" spans="1:7" ht="25.05" customHeight="1">
      <c r="A45" s="6">
        <v>42</v>
      </c>
      <c r="B45" s="7" t="s">
        <v>98</v>
      </c>
      <c r="C45" s="6" t="s">
        <v>613</v>
      </c>
      <c r="D45" s="3" t="s">
        <v>219</v>
      </c>
      <c r="E45" s="9" t="s">
        <v>409</v>
      </c>
      <c r="F45" s="79">
        <f>SUM(F38:F44)</f>
        <v>284</v>
      </c>
      <c r="G45" s="9"/>
    </row>
    <row r="46" spans="1:7" ht="25.05" customHeight="1">
      <c r="A46" s="6">
        <v>43</v>
      </c>
      <c r="B46" s="7" t="s">
        <v>98</v>
      </c>
      <c r="C46" s="6" t="s">
        <v>613</v>
      </c>
      <c r="D46" s="8" t="s">
        <v>239</v>
      </c>
      <c r="E46" s="8" t="s">
        <v>647</v>
      </c>
      <c r="F46" s="25">
        <v>140</v>
      </c>
      <c r="G46" s="8"/>
    </row>
    <row r="47" spans="1:7" ht="25.05" customHeight="1">
      <c r="A47" s="6">
        <v>44</v>
      </c>
      <c r="B47" s="7" t="s">
        <v>98</v>
      </c>
      <c r="C47" s="6" t="s">
        <v>613</v>
      </c>
      <c r="D47" s="8" t="s">
        <v>239</v>
      </c>
      <c r="E47" s="8" t="s">
        <v>648</v>
      </c>
      <c r="F47" s="25">
        <v>130</v>
      </c>
      <c r="G47" s="8"/>
    </row>
    <row r="48" spans="1:7" ht="25.05" customHeight="1">
      <c r="A48" s="6">
        <v>45</v>
      </c>
      <c r="B48" s="7" t="s">
        <v>98</v>
      </c>
      <c r="C48" s="6" t="s">
        <v>613</v>
      </c>
      <c r="D48" s="3" t="s">
        <v>219</v>
      </c>
      <c r="E48" s="9" t="s">
        <v>242</v>
      </c>
      <c r="F48" s="79">
        <f>SUM(F46:F47)</f>
        <v>270</v>
      </c>
      <c r="G48" s="9"/>
    </row>
    <row r="49" spans="1:7" ht="25.05" customHeight="1">
      <c r="A49" s="6">
        <v>46</v>
      </c>
      <c r="B49" s="7" t="s">
        <v>98</v>
      </c>
      <c r="C49" s="6" t="s">
        <v>613</v>
      </c>
      <c r="D49" s="6" t="s">
        <v>249</v>
      </c>
      <c r="E49" s="8" t="s">
        <v>332</v>
      </c>
      <c r="F49" s="25">
        <v>8</v>
      </c>
      <c r="G49" s="8"/>
    </row>
    <row r="50" spans="1:7" ht="25.05" customHeight="1">
      <c r="A50" s="6">
        <v>47</v>
      </c>
      <c r="B50" s="7" t="s">
        <v>98</v>
      </c>
      <c r="C50" s="6" t="s">
        <v>613</v>
      </c>
      <c r="D50" s="6" t="s">
        <v>249</v>
      </c>
      <c r="E50" s="8" t="s">
        <v>333</v>
      </c>
      <c r="F50" s="25">
        <v>8</v>
      </c>
      <c r="G50" s="8"/>
    </row>
    <row r="51" spans="1:7" ht="25.05" customHeight="1">
      <c r="A51" s="6">
        <v>48</v>
      </c>
      <c r="B51" s="7" t="s">
        <v>98</v>
      </c>
      <c r="C51" s="6" t="s">
        <v>613</v>
      </c>
      <c r="D51" s="6" t="s">
        <v>249</v>
      </c>
      <c r="E51" s="8" t="s">
        <v>649</v>
      </c>
      <c r="F51" s="25">
        <v>90</v>
      </c>
      <c r="G51" s="8"/>
    </row>
    <row r="52" spans="1:7" ht="25.05" customHeight="1">
      <c r="A52" s="6">
        <v>49</v>
      </c>
      <c r="B52" s="7" t="s">
        <v>98</v>
      </c>
      <c r="C52" s="6" t="s">
        <v>613</v>
      </c>
      <c r="D52" s="6" t="s">
        <v>249</v>
      </c>
      <c r="E52" s="8" t="s">
        <v>650</v>
      </c>
      <c r="F52" s="25">
        <v>20</v>
      </c>
      <c r="G52" s="8"/>
    </row>
    <row r="53" spans="1:7" ht="25.05" customHeight="1">
      <c r="A53" s="6">
        <v>50</v>
      </c>
      <c r="B53" s="7" t="s">
        <v>98</v>
      </c>
      <c r="C53" s="6" t="s">
        <v>613</v>
      </c>
      <c r="D53" s="6" t="s">
        <v>249</v>
      </c>
      <c r="E53" s="8" t="s">
        <v>651</v>
      </c>
      <c r="F53" s="25">
        <v>120</v>
      </c>
      <c r="G53" s="8"/>
    </row>
    <row r="54" spans="1:7" ht="25.05" customHeight="1">
      <c r="A54" s="6">
        <v>51</v>
      </c>
      <c r="B54" s="7" t="s">
        <v>98</v>
      </c>
      <c r="C54" s="6" t="s">
        <v>613</v>
      </c>
      <c r="D54" s="3" t="s">
        <v>219</v>
      </c>
      <c r="E54" s="9" t="s">
        <v>255</v>
      </c>
      <c r="F54" s="79">
        <f>SUM(F49:F53)</f>
        <v>246</v>
      </c>
      <c r="G54" s="9"/>
    </row>
    <row r="55" spans="1:7" ht="25.05" customHeight="1">
      <c r="A55" s="6">
        <v>52</v>
      </c>
      <c r="B55" s="7" t="s">
        <v>98</v>
      </c>
      <c r="C55" s="6" t="s">
        <v>613</v>
      </c>
      <c r="D55" s="6" t="s">
        <v>262</v>
      </c>
      <c r="E55" s="8" t="s">
        <v>263</v>
      </c>
      <c r="F55" s="25">
        <v>300</v>
      </c>
      <c r="G55" s="8"/>
    </row>
    <row r="56" spans="1:7" ht="25.05" customHeight="1">
      <c r="A56" s="6">
        <v>53</v>
      </c>
      <c r="B56" s="7" t="s">
        <v>98</v>
      </c>
      <c r="C56" s="6" t="s">
        <v>613</v>
      </c>
      <c r="D56" s="6" t="s">
        <v>262</v>
      </c>
      <c r="E56" s="8" t="s">
        <v>265</v>
      </c>
      <c r="F56" s="25">
        <v>50</v>
      </c>
      <c r="G56" s="8"/>
    </row>
    <row r="57" spans="1:7" ht="25.05" customHeight="1">
      <c r="A57" s="6">
        <v>54</v>
      </c>
      <c r="B57" s="7" t="s">
        <v>98</v>
      </c>
      <c r="C57" s="6" t="s">
        <v>613</v>
      </c>
      <c r="D57" s="6" t="s">
        <v>262</v>
      </c>
      <c r="E57" s="8" t="s">
        <v>264</v>
      </c>
      <c r="F57" s="25">
        <v>40</v>
      </c>
      <c r="G57" s="8"/>
    </row>
    <row r="58" spans="1:7" ht="25.05" customHeight="1">
      <c r="A58" s="6">
        <v>55</v>
      </c>
      <c r="B58" s="7" t="s">
        <v>98</v>
      </c>
      <c r="C58" s="6" t="s">
        <v>613</v>
      </c>
      <c r="D58" s="6" t="s">
        <v>262</v>
      </c>
      <c r="E58" s="8" t="s">
        <v>591</v>
      </c>
      <c r="F58" s="25">
        <v>40</v>
      </c>
      <c r="G58" s="8"/>
    </row>
    <row r="59" spans="1:7" ht="25.05" customHeight="1">
      <c r="A59" s="6">
        <v>56</v>
      </c>
      <c r="B59" s="7" t="s">
        <v>98</v>
      </c>
      <c r="C59" s="6" t="s">
        <v>613</v>
      </c>
      <c r="D59" s="3" t="s">
        <v>219</v>
      </c>
      <c r="E59" s="9" t="s">
        <v>266</v>
      </c>
      <c r="F59" s="79">
        <f>SUM(F55:F58)</f>
        <v>430</v>
      </c>
      <c r="G59" s="9"/>
    </row>
    <row r="60" spans="1:7" ht="29.55" customHeight="1">
      <c r="A60" s="6">
        <v>57</v>
      </c>
      <c r="B60" s="7" t="s">
        <v>98</v>
      </c>
      <c r="C60" s="6" t="s">
        <v>613</v>
      </c>
      <c r="D60" s="3" t="s">
        <v>267</v>
      </c>
      <c r="E60" s="10" t="s">
        <v>652</v>
      </c>
      <c r="F60" s="10">
        <v>2357</v>
      </c>
      <c r="G60" s="9"/>
    </row>
    <row r="61" spans="1:7" ht="25.05" customHeight="1">
      <c r="A61" s="219" t="s">
        <v>574</v>
      </c>
      <c r="B61" s="219"/>
      <c r="C61" s="219"/>
      <c r="D61" s="219"/>
      <c r="E61" s="219"/>
      <c r="F61" s="219"/>
      <c r="G61" s="219"/>
    </row>
  </sheetData>
  <autoFilter ref="A3:G61" xr:uid="{00000000-0009-0000-0000-00001F000000}"/>
  <mergeCells count="3">
    <mergeCell ref="A1:G1"/>
    <mergeCell ref="A2:G2"/>
    <mergeCell ref="A61:G61"/>
  </mergeCells>
  <phoneticPr fontId="23" type="noConversion"/>
  <pageMargins left="0.59055118110236204" right="0.23622047244094499" top="0.35433070866141703" bottom="0.43307086614173201" header="0.35433070866141703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G46"/>
  <sheetViews>
    <sheetView view="pageBreakPreview" zoomScale="115" zoomScaleNormal="100" workbookViewId="0">
      <selection activeCell="E49" sqref="E49"/>
    </sheetView>
  </sheetViews>
  <sheetFormatPr defaultColWidth="9" defaultRowHeight="19.05" customHeight="1"/>
  <cols>
    <col min="1" max="1" width="4.06640625" style="1" customWidth="1"/>
    <col min="2" max="2" width="9.265625" style="2" customWidth="1"/>
    <col min="3" max="3" width="11.33203125" style="1" customWidth="1"/>
    <col min="4" max="4" width="10.46484375" style="1" customWidth="1"/>
    <col min="5" max="5" width="45.265625" style="1" customWidth="1"/>
    <col min="6" max="6" width="7.59765625" style="78" customWidth="1"/>
    <col min="7" max="7" width="8.19921875" style="1" customWidth="1"/>
  </cols>
  <sheetData>
    <row r="1" spans="1:7" ht="25.05" customHeight="1">
      <c r="A1" s="215" t="s">
        <v>653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654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105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105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105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105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105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105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105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105</v>
      </c>
      <c r="D11" s="6" t="s">
        <v>209</v>
      </c>
      <c r="E11" s="8" t="s">
        <v>292</v>
      </c>
      <c r="F11" s="25">
        <v>24</v>
      </c>
      <c r="G11" s="8"/>
    </row>
    <row r="12" spans="1:7" ht="25.05" customHeight="1">
      <c r="A12" s="6">
        <v>9</v>
      </c>
      <c r="B12" s="7" t="s">
        <v>23</v>
      </c>
      <c r="C12" s="6" t="s">
        <v>105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105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105</v>
      </c>
      <c r="D14" s="3" t="s">
        <v>219</v>
      </c>
      <c r="E14" s="9" t="s">
        <v>220</v>
      </c>
      <c r="F14" s="79">
        <f>SUM(F4:F13)</f>
        <v>262</v>
      </c>
      <c r="G14" s="9"/>
    </row>
    <row r="15" spans="1:7" ht="25.05" customHeight="1">
      <c r="A15" s="6">
        <v>12</v>
      </c>
      <c r="B15" s="7" t="s">
        <v>23</v>
      </c>
      <c r="C15" s="6" t="s">
        <v>105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105</v>
      </c>
      <c r="D16" s="6" t="s">
        <v>221</v>
      </c>
      <c r="E16" s="8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23</v>
      </c>
      <c r="C17" s="6" t="s">
        <v>105</v>
      </c>
      <c r="D17" s="6" t="s">
        <v>221</v>
      </c>
      <c r="E17" s="8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23</v>
      </c>
      <c r="C18" s="6" t="s">
        <v>105</v>
      </c>
      <c r="D18" s="6" t="s">
        <v>221</v>
      </c>
      <c r="E18" s="8" t="s">
        <v>582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105</v>
      </c>
      <c r="D19" s="6" t="s">
        <v>221</v>
      </c>
      <c r="E19" s="8" t="s">
        <v>294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105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105</v>
      </c>
      <c r="D21" s="3" t="s">
        <v>219</v>
      </c>
      <c r="E21" s="9" t="s">
        <v>228</v>
      </c>
      <c r="F21" s="79">
        <f>SUM(F15:F20)</f>
        <v>128</v>
      </c>
      <c r="G21" s="9"/>
    </row>
    <row r="22" spans="1:7" ht="25.05" customHeight="1">
      <c r="A22" s="6">
        <v>19</v>
      </c>
      <c r="B22" s="7" t="s">
        <v>23</v>
      </c>
      <c r="C22" s="6" t="s">
        <v>105</v>
      </c>
      <c r="D22" s="6" t="s">
        <v>229</v>
      </c>
      <c r="E22" s="8" t="s">
        <v>583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105</v>
      </c>
      <c r="D23" s="6" t="s">
        <v>229</v>
      </c>
      <c r="E23" s="8" t="s">
        <v>411</v>
      </c>
      <c r="F23" s="25">
        <v>52</v>
      </c>
      <c r="G23" s="8"/>
    </row>
    <row r="24" spans="1:7" ht="25.05" customHeight="1">
      <c r="A24" s="6">
        <v>21</v>
      </c>
      <c r="B24" s="7" t="s">
        <v>23</v>
      </c>
      <c r="C24" s="6" t="s">
        <v>105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105</v>
      </c>
      <c r="D25" s="6" t="s">
        <v>229</v>
      </c>
      <c r="E25" s="8" t="s">
        <v>584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105</v>
      </c>
      <c r="D26" s="6" t="s">
        <v>229</v>
      </c>
      <c r="E26" s="8" t="s">
        <v>234</v>
      </c>
      <c r="F26" s="25">
        <v>20</v>
      </c>
      <c r="G26" s="8"/>
    </row>
    <row r="27" spans="1:7" ht="25.05" customHeight="1">
      <c r="A27" s="6">
        <v>24</v>
      </c>
      <c r="B27" s="7" t="s">
        <v>23</v>
      </c>
      <c r="C27" s="6" t="s">
        <v>105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105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23</v>
      </c>
      <c r="C29" s="6" t="s">
        <v>105</v>
      </c>
      <c r="D29" s="3" t="s">
        <v>219</v>
      </c>
      <c r="E29" s="9" t="s">
        <v>238</v>
      </c>
      <c r="F29" s="79">
        <f>SUM(F22:F28)</f>
        <v>147</v>
      </c>
      <c r="G29" s="9"/>
    </row>
    <row r="30" spans="1:7" ht="25.05" customHeight="1">
      <c r="A30" s="6">
        <v>27</v>
      </c>
      <c r="B30" s="7" t="s">
        <v>23</v>
      </c>
      <c r="C30" s="6" t="s">
        <v>105</v>
      </c>
      <c r="D30" s="6" t="s">
        <v>239</v>
      </c>
      <c r="E30" s="8" t="s">
        <v>240</v>
      </c>
      <c r="F30" s="25">
        <v>80</v>
      </c>
      <c r="G30" s="8"/>
    </row>
    <row r="31" spans="1:7" ht="25.05" customHeight="1">
      <c r="A31" s="6">
        <v>28</v>
      </c>
      <c r="B31" s="7" t="s">
        <v>23</v>
      </c>
      <c r="C31" s="6" t="s">
        <v>105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105</v>
      </c>
      <c r="D32" s="3" t="s">
        <v>219</v>
      </c>
      <c r="E32" s="9" t="s">
        <v>242</v>
      </c>
      <c r="F32" s="79">
        <f>SUM(F30:F31)</f>
        <v>140</v>
      </c>
      <c r="G32" s="9"/>
    </row>
    <row r="33" spans="1:7" ht="25.05" customHeight="1">
      <c r="A33" s="6">
        <v>30</v>
      </c>
      <c r="B33" s="7" t="s">
        <v>23</v>
      </c>
      <c r="C33" s="6" t="s">
        <v>105</v>
      </c>
      <c r="D33" s="6" t="s">
        <v>249</v>
      </c>
      <c r="E33" s="8" t="s">
        <v>332</v>
      </c>
      <c r="F33" s="25">
        <v>8</v>
      </c>
      <c r="G33" s="8"/>
    </row>
    <row r="34" spans="1:7" ht="25.05" customHeight="1">
      <c r="A34" s="6">
        <v>31</v>
      </c>
      <c r="B34" s="7" t="s">
        <v>23</v>
      </c>
      <c r="C34" s="6" t="s">
        <v>105</v>
      </c>
      <c r="D34" s="6" t="s">
        <v>249</v>
      </c>
      <c r="E34" s="8" t="s">
        <v>333</v>
      </c>
      <c r="F34" s="25">
        <v>8</v>
      </c>
      <c r="G34" s="8"/>
    </row>
    <row r="35" spans="1:7" ht="25.05" customHeight="1">
      <c r="A35" s="6">
        <v>32</v>
      </c>
      <c r="B35" s="7" t="s">
        <v>23</v>
      </c>
      <c r="C35" s="6" t="s">
        <v>105</v>
      </c>
      <c r="D35" s="6" t="s">
        <v>249</v>
      </c>
      <c r="E35" s="8" t="s">
        <v>586</v>
      </c>
      <c r="F35" s="25">
        <v>48</v>
      </c>
      <c r="G35" s="8"/>
    </row>
    <row r="36" spans="1:7" ht="25.05" customHeight="1">
      <c r="A36" s="6">
        <v>33</v>
      </c>
      <c r="B36" s="7" t="s">
        <v>23</v>
      </c>
      <c r="C36" s="6" t="s">
        <v>105</v>
      </c>
      <c r="D36" s="6" t="s">
        <v>249</v>
      </c>
      <c r="E36" s="8" t="s">
        <v>335</v>
      </c>
      <c r="F36" s="25">
        <v>8</v>
      </c>
      <c r="G36" s="8"/>
    </row>
    <row r="37" spans="1:7" ht="25.05" customHeight="1">
      <c r="A37" s="6">
        <v>34</v>
      </c>
      <c r="B37" s="7" t="s">
        <v>23</v>
      </c>
      <c r="C37" s="6" t="s">
        <v>105</v>
      </c>
      <c r="D37" s="6" t="s">
        <v>249</v>
      </c>
      <c r="E37" s="8" t="s">
        <v>336</v>
      </c>
      <c r="F37" s="25">
        <v>3</v>
      </c>
      <c r="G37" s="8"/>
    </row>
    <row r="38" spans="1:7" ht="25.05" customHeight="1">
      <c r="A38" s="6">
        <v>35</v>
      </c>
      <c r="B38" s="7" t="s">
        <v>23</v>
      </c>
      <c r="C38" s="6" t="s">
        <v>105</v>
      </c>
      <c r="D38" s="6" t="s">
        <v>249</v>
      </c>
      <c r="E38" s="8" t="s">
        <v>655</v>
      </c>
      <c r="F38" s="25">
        <v>10</v>
      </c>
      <c r="G38" s="8"/>
    </row>
    <row r="39" spans="1:7" ht="25.05" customHeight="1">
      <c r="A39" s="6">
        <v>36</v>
      </c>
      <c r="B39" s="7" t="s">
        <v>23</v>
      </c>
      <c r="C39" s="6" t="s">
        <v>105</v>
      </c>
      <c r="D39" s="3" t="s">
        <v>219</v>
      </c>
      <c r="E39" s="9" t="s">
        <v>255</v>
      </c>
      <c r="F39" s="79">
        <f ca="1">SUM(F33:F39)</f>
        <v>85</v>
      </c>
      <c r="G39" s="9"/>
    </row>
    <row r="40" spans="1:7" ht="25.05" customHeight="1">
      <c r="A40" s="6">
        <v>37</v>
      </c>
      <c r="B40" s="7" t="s">
        <v>23</v>
      </c>
      <c r="C40" s="6" t="s">
        <v>105</v>
      </c>
      <c r="D40" s="6" t="s">
        <v>262</v>
      </c>
      <c r="E40" s="8" t="s">
        <v>263</v>
      </c>
      <c r="F40" s="25">
        <v>130</v>
      </c>
      <c r="G40" s="8"/>
    </row>
    <row r="41" spans="1:7" ht="25.05" customHeight="1">
      <c r="A41" s="6">
        <v>38</v>
      </c>
      <c r="B41" s="7" t="s">
        <v>23</v>
      </c>
      <c r="C41" s="6" t="s">
        <v>105</v>
      </c>
      <c r="D41" s="6" t="s">
        <v>262</v>
      </c>
      <c r="E41" s="8" t="s">
        <v>265</v>
      </c>
      <c r="F41" s="25">
        <v>30</v>
      </c>
      <c r="G41" s="8"/>
    </row>
    <row r="42" spans="1:7" ht="25.05" customHeight="1">
      <c r="A42" s="6">
        <v>39</v>
      </c>
      <c r="B42" s="7" t="s">
        <v>23</v>
      </c>
      <c r="C42" s="6" t="s">
        <v>105</v>
      </c>
      <c r="D42" s="6" t="s">
        <v>262</v>
      </c>
      <c r="E42" s="8" t="s">
        <v>264</v>
      </c>
      <c r="F42" s="25">
        <v>50</v>
      </c>
      <c r="G42" s="8"/>
    </row>
    <row r="43" spans="1:7" ht="25.05" customHeight="1">
      <c r="A43" s="6">
        <v>40</v>
      </c>
      <c r="B43" s="7" t="s">
        <v>23</v>
      </c>
      <c r="C43" s="6" t="s">
        <v>105</v>
      </c>
      <c r="D43" s="6" t="s">
        <v>262</v>
      </c>
      <c r="E43" s="8" t="s">
        <v>591</v>
      </c>
      <c r="F43" s="25">
        <v>40</v>
      </c>
      <c r="G43" s="8"/>
    </row>
    <row r="44" spans="1:7" ht="25.05" customHeight="1">
      <c r="A44" s="6">
        <v>41</v>
      </c>
      <c r="B44" s="7" t="s">
        <v>23</v>
      </c>
      <c r="C44" s="6" t="s">
        <v>105</v>
      </c>
      <c r="D44" s="3" t="s">
        <v>219</v>
      </c>
      <c r="E44" s="9" t="s">
        <v>266</v>
      </c>
      <c r="F44" s="79">
        <f>SUM(F40:F43)</f>
        <v>250</v>
      </c>
      <c r="G44" s="9"/>
    </row>
    <row r="45" spans="1:7" ht="25.05" customHeight="1">
      <c r="A45" s="6">
        <v>42</v>
      </c>
      <c r="B45" s="7" t="s">
        <v>23</v>
      </c>
      <c r="C45" s="6" t="s">
        <v>105</v>
      </c>
      <c r="D45" s="3" t="s">
        <v>267</v>
      </c>
      <c r="E45" s="10" t="s">
        <v>656</v>
      </c>
      <c r="F45" s="10">
        <v>1012</v>
      </c>
      <c r="G45" s="9"/>
    </row>
    <row r="46" spans="1:7" ht="25.05" customHeight="1">
      <c r="A46" s="219" t="s">
        <v>269</v>
      </c>
      <c r="B46" s="219"/>
      <c r="C46" s="219"/>
      <c r="D46" s="219"/>
      <c r="E46" s="219"/>
      <c r="F46" s="219"/>
      <c r="G46" s="219"/>
    </row>
  </sheetData>
  <autoFilter ref="A3:G46" xr:uid="{00000000-0009-0000-0000-000020000000}"/>
  <mergeCells count="3">
    <mergeCell ref="A1:G1"/>
    <mergeCell ref="A2:G2"/>
    <mergeCell ref="A46:G46"/>
  </mergeCells>
  <phoneticPr fontId="23" type="noConversion"/>
  <pageMargins left="0.59055118110236204" right="0.23622047244094499" top="0.31496062992126" bottom="0.511811023622047" header="0.31496062992126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G46"/>
  <sheetViews>
    <sheetView view="pageBreakPreview" zoomScale="130" zoomScaleNormal="100" workbookViewId="0">
      <selection activeCell="E49" sqref="E49"/>
    </sheetView>
  </sheetViews>
  <sheetFormatPr defaultColWidth="9" defaultRowHeight="19.05" customHeight="1"/>
  <cols>
    <col min="1" max="1" width="4.06640625" style="1" customWidth="1"/>
    <col min="2" max="2" width="9.73046875" style="2" customWidth="1"/>
    <col min="3" max="3" width="12.19921875" style="1" customWidth="1"/>
    <col min="4" max="4" width="10.73046875" style="1" customWidth="1"/>
    <col min="5" max="5" width="41.265625" style="1" customWidth="1"/>
    <col min="6" max="6" width="7.46484375" style="78" customWidth="1"/>
    <col min="7" max="7" width="8.9296875" style="1" customWidth="1"/>
  </cols>
  <sheetData>
    <row r="1" spans="1:7" ht="25.05" customHeight="1">
      <c r="A1" s="215" t="s">
        <v>657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658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108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108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108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108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108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108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108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108</v>
      </c>
      <c r="D11" s="6" t="s">
        <v>209</v>
      </c>
      <c r="E11" s="8" t="s">
        <v>292</v>
      </c>
      <c r="F11" s="25">
        <v>24</v>
      </c>
      <c r="G11" s="8"/>
    </row>
    <row r="12" spans="1:7" ht="25.05" customHeight="1">
      <c r="A12" s="6">
        <v>9</v>
      </c>
      <c r="B12" s="7" t="s">
        <v>23</v>
      </c>
      <c r="C12" s="6" t="s">
        <v>108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108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108</v>
      </c>
      <c r="D14" s="3" t="s">
        <v>219</v>
      </c>
      <c r="E14" s="9" t="s">
        <v>220</v>
      </c>
      <c r="F14" s="79">
        <f>SUM(F4:F13)</f>
        <v>262</v>
      </c>
      <c r="G14" s="9"/>
    </row>
    <row r="15" spans="1:7" ht="25.05" customHeight="1">
      <c r="A15" s="6">
        <v>12</v>
      </c>
      <c r="B15" s="7" t="s">
        <v>23</v>
      </c>
      <c r="C15" s="6" t="s">
        <v>108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108</v>
      </c>
      <c r="D16" s="6" t="s">
        <v>221</v>
      </c>
      <c r="E16" s="8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23</v>
      </c>
      <c r="C17" s="6" t="s">
        <v>108</v>
      </c>
      <c r="D17" s="6" t="s">
        <v>221</v>
      </c>
      <c r="E17" s="8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23</v>
      </c>
      <c r="C18" s="6" t="s">
        <v>108</v>
      </c>
      <c r="D18" s="6" t="s">
        <v>221</v>
      </c>
      <c r="E18" s="8" t="s">
        <v>582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108</v>
      </c>
      <c r="D19" s="6" t="s">
        <v>221</v>
      </c>
      <c r="E19" s="8" t="s">
        <v>226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108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108</v>
      </c>
      <c r="D21" s="3" t="s">
        <v>219</v>
      </c>
      <c r="E21" s="9" t="s">
        <v>228</v>
      </c>
      <c r="F21" s="79">
        <f>SUM(F15:F20)</f>
        <v>128</v>
      </c>
      <c r="G21" s="9"/>
    </row>
    <row r="22" spans="1:7" ht="25.05" customHeight="1">
      <c r="A22" s="6">
        <v>19</v>
      </c>
      <c r="B22" s="7" t="s">
        <v>23</v>
      </c>
      <c r="C22" s="6" t="s">
        <v>108</v>
      </c>
      <c r="D22" s="6" t="s">
        <v>229</v>
      </c>
      <c r="E22" s="8" t="s">
        <v>583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108</v>
      </c>
      <c r="D23" s="6" t="s">
        <v>229</v>
      </c>
      <c r="E23" s="8" t="s">
        <v>411</v>
      </c>
      <c r="F23" s="25">
        <v>60</v>
      </c>
      <c r="G23" s="8"/>
    </row>
    <row r="24" spans="1:7" ht="25.05" customHeight="1">
      <c r="A24" s="6">
        <v>21</v>
      </c>
      <c r="B24" s="7" t="s">
        <v>23</v>
      </c>
      <c r="C24" s="6" t="s">
        <v>108</v>
      </c>
      <c r="D24" s="6" t="s">
        <v>229</v>
      </c>
      <c r="E24" s="8" t="s">
        <v>232</v>
      </c>
      <c r="F24" s="25">
        <v>20</v>
      </c>
      <c r="G24" s="8"/>
    </row>
    <row r="25" spans="1:7" ht="25.05" customHeight="1">
      <c r="A25" s="6">
        <v>22</v>
      </c>
      <c r="B25" s="7" t="s">
        <v>23</v>
      </c>
      <c r="C25" s="6" t="s">
        <v>108</v>
      </c>
      <c r="D25" s="6" t="s">
        <v>229</v>
      </c>
      <c r="E25" s="8" t="s">
        <v>584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108</v>
      </c>
      <c r="D26" s="6" t="s">
        <v>229</v>
      </c>
      <c r="E26" s="8" t="s">
        <v>659</v>
      </c>
      <c r="F26" s="25">
        <v>10</v>
      </c>
      <c r="G26" s="8"/>
    </row>
    <row r="27" spans="1:7" ht="25.05" customHeight="1">
      <c r="A27" s="6">
        <v>24</v>
      </c>
      <c r="B27" s="7" t="s">
        <v>23</v>
      </c>
      <c r="C27" s="6" t="s">
        <v>108</v>
      </c>
      <c r="D27" s="6" t="s">
        <v>229</v>
      </c>
      <c r="E27" s="8" t="s">
        <v>626</v>
      </c>
      <c r="F27" s="25">
        <v>4</v>
      </c>
      <c r="G27" s="8"/>
    </row>
    <row r="28" spans="1:7" ht="25.05" customHeight="1">
      <c r="A28" s="6">
        <v>25</v>
      </c>
      <c r="B28" s="7" t="s">
        <v>23</v>
      </c>
      <c r="C28" s="6" t="s">
        <v>108</v>
      </c>
      <c r="D28" s="6" t="s">
        <v>229</v>
      </c>
      <c r="E28" s="8" t="s">
        <v>627</v>
      </c>
      <c r="F28" s="25">
        <v>5</v>
      </c>
      <c r="G28" s="8"/>
    </row>
    <row r="29" spans="1:7" ht="25.05" customHeight="1">
      <c r="A29" s="6">
        <v>26</v>
      </c>
      <c r="B29" s="7" t="s">
        <v>23</v>
      </c>
      <c r="C29" s="6" t="s">
        <v>108</v>
      </c>
      <c r="D29" s="3" t="s">
        <v>219</v>
      </c>
      <c r="E29" s="9" t="s">
        <v>238</v>
      </c>
      <c r="F29" s="79">
        <f>SUM(F22:F28)</f>
        <v>138</v>
      </c>
      <c r="G29" s="9"/>
    </row>
    <row r="30" spans="1:7" ht="25.05" customHeight="1">
      <c r="A30" s="6">
        <v>27</v>
      </c>
      <c r="B30" s="7" t="s">
        <v>23</v>
      </c>
      <c r="C30" s="6" t="s">
        <v>108</v>
      </c>
      <c r="D30" s="6" t="s">
        <v>239</v>
      </c>
      <c r="E30" s="8" t="s">
        <v>240</v>
      </c>
      <c r="F30" s="25">
        <v>80</v>
      </c>
      <c r="G30" s="8"/>
    </row>
    <row r="31" spans="1:7" ht="25.05" customHeight="1">
      <c r="A31" s="6">
        <v>28</v>
      </c>
      <c r="B31" s="7" t="s">
        <v>23</v>
      </c>
      <c r="C31" s="6" t="s">
        <v>108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108</v>
      </c>
      <c r="D32" s="3" t="s">
        <v>219</v>
      </c>
      <c r="E32" s="9" t="s">
        <v>242</v>
      </c>
      <c r="F32" s="79">
        <f>SUM(F30:F31)</f>
        <v>140</v>
      </c>
      <c r="G32" s="9"/>
    </row>
    <row r="33" spans="1:7" ht="25.05" customHeight="1">
      <c r="A33" s="6">
        <v>30</v>
      </c>
      <c r="B33" s="7" t="s">
        <v>23</v>
      </c>
      <c r="C33" s="6" t="s">
        <v>108</v>
      </c>
      <c r="D33" s="6" t="s">
        <v>249</v>
      </c>
      <c r="E33" s="8" t="s">
        <v>332</v>
      </c>
      <c r="F33" s="25">
        <v>8</v>
      </c>
      <c r="G33" s="8"/>
    </row>
    <row r="34" spans="1:7" ht="25.05" customHeight="1">
      <c r="A34" s="6">
        <v>31</v>
      </c>
      <c r="B34" s="7" t="s">
        <v>23</v>
      </c>
      <c r="C34" s="6" t="s">
        <v>108</v>
      </c>
      <c r="D34" s="6" t="s">
        <v>249</v>
      </c>
      <c r="E34" s="8" t="s">
        <v>333</v>
      </c>
      <c r="F34" s="25">
        <v>8</v>
      </c>
      <c r="G34" s="8"/>
    </row>
    <row r="35" spans="1:7" ht="25.05" customHeight="1">
      <c r="A35" s="6">
        <v>32</v>
      </c>
      <c r="B35" s="7" t="s">
        <v>23</v>
      </c>
      <c r="C35" s="6" t="s">
        <v>108</v>
      </c>
      <c r="D35" s="6" t="s">
        <v>249</v>
      </c>
      <c r="E35" s="8" t="s">
        <v>586</v>
      </c>
      <c r="F35" s="25">
        <v>48</v>
      </c>
      <c r="G35" s="8"/>
    </row>
    <row r="36" spans="1:7" ht="25.05" customHeight="1">
      <c r="A36" s="6">
        <v>33</v>
      </c>
      <c r="B36" s="7" t="s">
        <v>23</v>
      </c>
      <c r="C36" s="6" t="s">
        <v>108</v>
      </c>
      <c r="D36" s="6" t="s">
        <v>249</v>
      </c>
      <c r="E36" s="8" t="s">
        <v>335</v>
      </c>
      <c r="F36" s="25">
        <v>8</v>
      </c>
      <c r="G36" s="8"/>
    </row>
    <row r="37" spans="1:7" ht="25.05" customHeight="1">
      <c r="A37" s="6">
        <v>34</v>
      </c>
      <c r="B37" s="7" t="s">
        <v>23</v>
      </c>
      <c r="C37" s="6" t="s">
        <v>108</v>
      </c>
      <c r="D37" s="6" t="s">
        <v>249</v>
      </c>
      <c r="E37" s="8" t="s">
        <v>336</v>
      </c>
      <c r="F37" s="25">
        <v>3</v>
      </c>
      <c r="G37" s="8"/>
    </row>
    <row r="38" spans="1:7" ht="25.05" customHeight="1">
      <c r="A38" s="6">
        <v>35</v>
      </c>
      <c r="B38" s="7" t="s">
        <v>23</v>
      </c>
      <c r="C38" s="6" t="s">
        <v>108</v>
      </c>
      <c r="D38" s="6" t="s">
        <v>249</v>
      </c>
      <c r="E38" s="8" t="s">
        <v>660</v>
      </c>
      <c r="F38" s="25">
        <v>10</v>
      </c>
      <c r="G38" s="8"/>
    </row>
    <row r="39" spans="1:7" ht="25.05" customHeight="1">
      <c r="A39" s="6">
        <v>36</v>
      </c>
      <c r="B39" s="7" t="s">
        <v>23</v>
      </c>
      <c r="C39" s="6" t="s">
        <v>108</v>
      </c>
      <c r="D39" s="3" t="s">
        <v>219</v>
      </c>
      <c r="E39" s="9" t="s">
        <v>255</v>
      </c>
      <c r="F39" s="79">
        <f>SUM(F33:F38)</f>
        <v>85</v>
      </c>
      <c r="G39" s="9"/>
    </row>
    <row r="40" spans="1:7" ht="25.05" customHeight="1">
      <c r="A40" s="6">
        <v>37</v>
      </c>
      <c r="B40" s="7" t="s">
        <v>23</v>
      </c>
      <c r="C40" s="6" t="s">
        <v>108</v>
      </c>
      <c r="D40" s="6" t="s">
        <v>262</v>
      </c>
      <c r="E40" s="8" t="s">
        <v>263</v>
      </c>
      <c r="F40" s="25">
        <v>150</v>
      </c>
      <c r="G40" s="8"/>
    </row>
    <row r="41" spans="1:7" ht="25.05" customHeight="1">
      <c r="A41" s="6">
        <v>38</v>
      </c>
      <c r="B41" s="7" t="s">
        <v>23</v>
      </c>
      <c r="C41" s="6" t="s">
        <v>108</v>
      </c>
      <c r="D41" s="6" t="s">
        <v>262</v>
      </c>
      <c r="E41" s="8" t="s">
        <v>265</v>
      </c>
      <c r="F41" s="25">
        <v>30</v>
      </c>
      <c r="G41" s="8"/>
    </row>
    <row r="42" spans="1:7" ht="25.05" customHeight="1">
      <c r="A42" s="6">
        <v>39</v>
      </c>
      <c r="B42" s="7" t="s">
        <v>23</v>
      </c>
      <c r="C42" s="6" t="s">
        <v>108</v>
      </c>
      <c r="D42" s="6" t="s">
        <v>262</v>
      </c>
      <c r="E42" s="8" t="s">
        <v>264</v>
      </c>
      <c r="F42" s="25">
        <v>50</v>
      </c>
      <c r="G42" s="8"/>
    </row>
    <row r="43" spans="1:7" ht="25.05" customHeight="1">
      <c r="A43" s="6">
        <v>40</v>
      </c>
      <c r="B43" s="7" t="s">
        <v>23</v>
      </c>
      <c r="C43" s="6" t="s">
        <v>108</v>
      </c>
      <c r="D43" s="6" t="s">
        <v>262</v>
      </c>
      <c r="E43" s="8" t="s">
        <v>591</v>
      </c>
      <c r="F43" s="25">
        <v>40</v>
      </c>
      <c r="G43" s="8"/>
    </row>
    <row r="44" spans="1:7" ht="25.05" customHeight="1">
      <c r="A44" s="6">
        <v>41</v>
      </c>
      <c r="B44" s="7" t="s">
        <v>23</v>
      </c>
      <c r="C44" s="6" t="s">
        <v>108</v>
      </c>
      <c r="D44" s="3" t="s">
        <v>219</v>
      </c>
      <c r="E44" s="9" t="s">
        <v>266</v>
      </c>
      <c r="F44" s="79">
        <f>SUM(F40:F43)</f>
        <v>270</v>
      </c>
      <c r="G44" s="9"/>
    </row>
    <row r="45" spans="1:7" ht="25.05" customHeight="1">
      <c r="A45" s="6">
        <v>42</v>
      </c>
      <c r="B45" s="7" t="s">
        <v>23</v>
      </c>
      <c r="C45" s="6" t="s">
        <v>108</v>
      </c>
      <c r="D45" s="3" t="s">
        <v>267</v>
      </c>
      <c r="E45" s="10" t="s">
        <v>661</v>
      </c>
      <c r="F45" s="10">
        <v>1023</v>
      </c>
      <c r="G45" s="9"/>
    </row>
    <row r="46" spans="1:7" ht="25.05" customHeight="1">
      <c r="A46" s="219" t="s">
        <v>574</v>
      </c>
      <c r="B46" s="219"/>
      <c r="C46" s="219"/>
      <c r="D46" s="219"/>
      <c r="E46" s="219"/>
      <c r="F46" s="219"/>
      <c r="G46" s="219"/>
    </row>
  </sheetData>
  <autoFilter ref="A3:G46" xr:uid="{00000000-0009-0000-0000-000021000000}"/>
  <mergeCells count="3">
    <mergeCell ref="A1:G1"/>
    <mergeCell ref="A2:G2"/>
    <mergeCell ref="A46:G46"/>
  </mergeCells>
  <phoneticPr fontId="23" type="noConversion"/>
  <pageMargins left="0.59055118110236204" right="0.31496062992126" top="0.39370078740157499" bottom="0.47244094488188998" header="0.39370078740157499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J54"/>
  <sheetViews>
    <sheetView view="pageBreakPreview" zoomScale="130" zoomScaleNormal="100" workbookViewId="0">
      <selection activeCell="E9" sqref="E9"/>
    </sheetView>
  </sheetViews>
  <sheetFormatPr defaultColWidth="9" defaultRowHeight="15.75"/>
  <cols>
    <col min="1" max="1" width="3.73046875" style="1" customWidth="1"/>
    <col min="2" max="2" width="9.73046875" style="2" customWidth="1"/>
    <col min="3" max="3" width="12.53125" style="1" customWidth="1"/>
    <col min="4" max="4" width="10.59765625" style="1" customWidth="1"/>
    <col min="5" max="5" width="45.9296875" style="1" customWidth="1"/>
    <col min="6" max="6" width="6.9296875" style="78" customWidth="1"/>
    <col min="7" max="7" width="7" style="1" customWidth="1"/>
  </cols>
  <sheetData>
    <row r="1" spans="1:7" ht="25.05" customHeight="1">
      <c r="A1" s="215" t="s">
        <v>662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663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111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32</v>
      </c>
      <c r="C5" s="6" t="s">
        <v>111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32</v>
      </c>
      <c r="C6" s="6" t="s">
        <v>111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32</v>
      </c>
      <c r="C7" s="6" t="s">
        <v>111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32</v>
      </c>
      <c r="C8" s="6" t="s">
        <v>111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32</v>
      </c>
      <c r="C9" s="6" t="s">
        <v>111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32</v>
      </c>
      <c r="C10" s="6" t="s">
        <v>111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32</v>
      </c>
      <c r="C11" s="6" t="s">
        <v>111</v>
      </c>
      <c r="D11" s="6" t="s">
        <v>209</v>
      </c>
      <c r="E11" s="8" t="s">
        <v>292</v>
      </c>
      <c r="F11" s="25">
        <v>12</v>
      </c>
      <c r="G11" s="8"/>
    </row>
    <row r="12" spans="1:7" ht="25.05" customHeight="1">
      <c r="A12" s="6">
        <v>9</v>
      </c>
      <c r="B12" s="7" t="s">
        <v>32</v>
      </c>
      <c r="C12" s="6" t="s">
        <v>111</v>
      </c>
      <c r="D12" s="6" t="s">
        <v>209</v>
      </c>
      <c r="E12" s="8" t="s">
        <v>217</v>
      </c>
      <c r="F12" s="25">
        <v>55</v>
      </c>
      <c r="G12" s="8"/>
    </row>
    <row r="13" spans="1:7" ht="25.05" customHeight="1">
      <c r="A13" s="6">
        <v>10</v>
      </c>
      <c r="B13" s="7" t="s">
        <v>32</v>
      </c>
      <c r="C13" s="6" t="s">
        <v>111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32</v>
      </c>
      <c r="C14" s="6" t="s">
        <v>111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ht="25.05" customHeight="1">
      <c r="A15" s="6">
        <v>12</v>
      </c>
      <c r="B15" s="7" t="s">
        <v>32</v>
      </c>
      <c r="C15" s="6" t="s">
        <v>111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32</v>
      </c>
      <c r="C16" s="6" t="s">
        <v>111</v>
      </c>
      <c r="D16" s="6" t="s">
        <v>221</v>
      </c>
      <c r="E16" s="8" t="s">
        <v>223</v>
      </c>
      <c r="F16" s="25">
        <v>22</v>
      </c>
      <c r="G16" s="8"/>
    </row>
    <row r="17" spans="1:10" ht="25.05" customHeight="1">
      <c r="A17" s="6">
        <v>14</v>
      </c>
      <c r="B17" s="7" t="s">
        <v>32</v>
      </c>
      <c r="C17" s="6" t="s">
        <v>111</v>
      </c>
      <c r="D17" s="6" t="s">
        <v>221</v>
      </c>
      <c r="E17" s="8" t="s">
        <v>224</v>
      </c>
      <c r="F17" s="25">
        <v>9</v>
      </c>
      <c r="G17" s="8"/>
    </row>
    <row r="18" spans="1:10" ht="25.05" customHeight="1">
      <c r="A18" s="6">
        <v>15</v>
      </c>
      <c r="B18" s="7" t="s">
        <v>32</v>
      </c>
      <c r="C18" s="6" t="s">
        <v>111</v>
      </c>
      <c r="D18" s="6" t="s">
        <v>221</v>
      </c>
      <c r="E18" s="8" t="s">
        <v>225</v>
      </c>
      <c r="F18" s="25">
        <v>20</v>
      </c>
      <c r="G18" s="8"/>
    </row>
    <row r="19" spans="1:10" ht="25.05" customHeight="1">
      <c r="A19" s="6">
        <v>16</v>
      </c>
      <c r="B19" s="7" t="s">
        <v>32</v>
      </c>
      <c r="C19" s="6" t="s">
        <v>111</v>
      </c>
      <c r="D19" s="6" t="s">
        <v>221</v>
      </c>
      <c r="E19" s="8" t="s">
        <v>226</v>
      </c>
      <c r="F19" s="25">
        <v>22</v>
      </c>
      <c r="G19" s="8"/>
    </row>
    <row r="20" spans="1:10" ht="25.05" customHeight="1">
      <c r="A20" s="6">
        <v>17</v>
      </c>
      <c r="B20" s="7" t="s">
        <v>32</v>
      </c>
      <c r="C20" s="6" t="s">
        <v>111</v>
      </c>
      <c r="D20" s="6" t="s">
        <v>221</v>
      </c>
      <c r="E20" s="8" t="s">
        <v>391</v>
      </c>
      <c r="F20" s="25">
        <v>20</v>
      </c>
      <c r="G20" s="8"/>
    </row>
    <row r="21" spans="1:10" ht="25.05" customHeight="1">
      <c r="A21" s="6">
        <v>18</v>
      </c>
      <c r="B21" s="7" t="s">
        <v>32</v>
      </c>
      <c r="C21" s="6" t="s">
        <v>111</v>
      </c>
      <c r="D21" s="6" t="s">
        <v>221</v>
      </c>
      <c r="E21" s="8" t="s">
        <v>380</v>
      </c>
      <c r="F21" s="25">
        <v>12</v>
      </c>
      <c r="G21" s="8"/>
    </row>
    <row r="22" spans="1:10" ht="25.05" customHeight="1">
      <c r="A22" s="6">
        <v>19</v>
      </c>
      <c r="B22" s="7" t="s">
        <v>32</v>
      </c>
      <c r="C22" s="6" t="s">
        <v>111</v>
      </c>
      <c r="D22" s="3" t="s">
        <v>219</v>
      </c>
      <c r="E22" s="9" t="s">
        <v>228</v>
      </c>
      <c r="F22" s="85">
        <f>SUM(F15:F21)</f>
        <v>119</v>
      </c>
      <c r="G22" s="9"/>
    </row>
    <row r="23" spans="1:10" ht="25.05" customHeight="1">
      <c r="A23" s="6">
        <v>20</v>
      </c>
      <c r="B23" s="7" t="s">
        <v>32</v>
      </c>
      <c r="C23" s="6" t="s">
        <v>111</v>
      </c>
      <c r="D23" s="6" t="s">
        <v>229</v>
      </c>
      <c r="E23" s="8" t="s">
        <v>583</v>
      </c>
      <c r="F23" s="25">
        <v>14</v>
      </c>
      <c r="G23" s="8"/>
    </row>
    <row r="24" spans="1:10" ht="25.05" customHeight="1">
      <c r="A24" s="6">
        <v>21</v>
      </c>
      <c r="B24" s="7" t="s">
        <v>32</v>
      </c>
      <c r="C24" s="6" t="s">
        <v>111</v>
      </c>
      <c r="D24" s="6" t="s">
        <v>229</v>
      </c>
      <c r="E24" s="8" t="s">
        <v>231</v>
      </c>
      <c r="F24" s="25">
        <v>32</v>
      </c>
      <c r="G24" s="8"/>
    </row>
    <row r="25" spans="1:10" ht="25.05" customHeight="1">
      <c r="A25" s="6">
        <v>22</v>
      </c>
      <c r="B25" s="7" t="s">
        <v>32</v>
      </c>
      <c r="C25" s="6" t="s">
        <v>111</v>
      </c>
      <c r="D25" s="6" t="s">
        <v>229</v>
      </c>
      <c r="E25" s="8" t="s">
        <v>232</v>
      </c>
      <c r="F25" s="25">
        <v>18</v>
      </c>
      <c r="G25" s="8"/>
    </row>
    <row r="26" spans="1:10" ht="25.05" customHeight="1">
      <c r="A26" s="6">
        <v>23</v>
      </c>
      <c r="B26" s="7" t="s">
        <v>32</v>
      </c>
      <c r="C26" s="6" t="s">
        <v>111</v>
      </c>
      <c r="D26" s="6" t="s">
        <v>229</v>
      </c>
      <c r="E26" s="8" t="s">
        <v>233</v>
      </c>
      <c r="F26" s="25">
        <v>25</v>
      </c>
      <c r="G26" s="8"/>
    </row>
    <row r="27" spans="1:10" ht="25.05" customHeight="1">
      <c r="A27" s="6">
        <v>24</v>
      </c>
      <c r="B27" s="7" t="s">
        <v>32</v>
      </c>
      <c r="C27" s="6" t="s">
        <v>111</v>
      </c>
      <c r="D27" s="6" t="s">
        <v>229</v>
      </c>
      <c r="E27" s="8" t="s">
        <v>234</v>
      </c>
      <c r="F27" s="25">
        <v>19</v>
      </c>
      <c r="G27" s="8"/>
      <c r="J27">
        <v>5</v>
      </c>
    </row>
    <row r="28" spans="1:10" ht="25.05" customHeight="1">
      <c r="A28" s="6">
        <v>25</v>
      </c>
      <c r="B28" s="7" t="s">
        <v>32</v>
      </c>
      <c r="C28" s="6" t="s">
        <v>111</v>
      </c>
      <c r="D28" s="6" t="s">
        <v>229</v>
      </c>
      <c r="E28" s="8" t="s">
        <v>235</v>
      </c>
      <c r="F28" s="25">
        <v>10</v>
      </c>
      <c r="G28" s="8"/>
    </row>
    <row r="29" spans="1:10" ht="25.05" customHeight="1">
      <c r="A29" s="6">
        <v>26</v>
      </c>
      <c r="B29" s="7" t="s">
        <v>32</v>
      </c>
      <c r="C29" s="6" t="s">
        <v>111</v>
      </c>
      <c r="D29" s="6" t="s">
        <v>229</v>
      </c>
      <c r="E29" s="8" t="s">
        <v>237</v>
      </c>
      <c r="F29" s="25">
        <v>8</v>
      </c>
      <c r="G29" s="8"/>
    </row>
    <row r="30" spans="1:10" ht="25.05" customHeight="1">
      <c r="A30" s="6">
        <v>27</v>
      </c>
      <c r="B30" s="7" t="s">
        <v>32</v>
      </c>
      <c r="C30" s="6" t="s">
        <v>111</v>
      </c>
      <c r="D30" s="6" t="s">
        <v>229</v>
      </c>
      <c r="E30" s="8" t="s">
        <v>385</v>
      </c>
      <c r="F30" s="25">
        <v>18</v>
      </c>
      <c r="G30" s="8"/>
    </row>
    <row r="31" spans="1:10" ht="25.05" customHeight="1">
      <c r="A31" s="6">
        <v>28</v>
      </c>
      <c r="B31" s="7" t="s">
        <v>32</v>
      </c>
      <c r="C31" s="6" t="s">
        <v>111</v>
      </c>
      <c r="D31" s="3" t="s">
        <v>219</v>
      </c>
      <c r="E31" s="9" t="s">
        <v>238</v>
      </c>
      <c r="F31" s="79">
        <v>144</v>
      </c>
      <c r="G31" s="9"/>
    </row>
    <row r="32" spans="1:10" ht="25.05" customHeight="1">
      <c r="A32" s="6">
        <v>29</v>
      </c>
      <c r="B32" s="7" t="s">
        <v>32</v>
      </c>
      <c r="C32" s="6" t="s">
        <v>111</v>
      </c>
      <c r="D32" s="6" t="s">
        <v>239</v>
      </c>
      <c r="E32" s="8" t="s">
        <v>240</v>
      </c>
      <c r="F32" s="25">
        <v>70</v>
      </c>
      <c r="G32" s="8"/>
    </row>
    <row r="33" spans="1:7" ht="25.05" customHeight="1">
      <c r="A33" s="6">
        <v>30</v>
      </c>
      <c r="B33" s="7" t="s">
        <v>32</v>
      </c>
      <c r="C33" s="6" t="s">
        <v>111</v>
      </c>
      <c r="D33" s="6" t="s">
        <v>239</v>
      </c>
      <c r="E33" s="8" t="s">
        <v>241</v>
      </c>
      <c r="F33" s="25">
        <v>60</v>
      </c>
      <c r="G33" s="8"/>
    </row>
    <row r="34" spans="1:7" ht="25.05" customHeight="1">
      <c r="A34" s="6">
        <v>31</v>
      </c>
      <c r="B34" s="7" t="s">
        <v>32</v>
      </c>
      <c r="C34" s="6" t="s">
        <v>111</v>
      </c>
      <c r="D34" s="3" t="s">
        <v>219</v>
      </c>
      <c r="E34" s="9" t="s">
        <v>242</v>
      </c>
      <c r="F34" s="79">
        <v>130</v>
      </c>
      <c r="G34" s="9"/>
    </row>
    <row r="35" spans="1:7" ht="25.05" customHeight="1">
      <c r="A35" s="6">
        <v>32</v>
      </c>
      <c r="B35" s="7" t="s">
        <v>32</v>
      </c>
      <c r="C35" s="6" t="s">
        <v>111</v>
      </c>
      <c r="D35" s="6" t="s">
        <v>243</v>
      </c>
      <c r="E35" s="8" t="s">
        <v>349</v>
      </c>
      <c r="F35" s="25">
        <v>8.4</v>
      </c>
      <c r="G35" s="8"/>
    </row>
    <row r="36" spans="1:7" ht="25.05" customHeight="1">
      <c r="A36" s="6">
        <v>33</v>
      </c>
      <c r="B36" s="7" t="s">
        <v>32</v>
      </c>
      <c r="C36" s="6" t="s">
        <v>111</v>
      </c>
      <c r="D36" s="6" t="s">
        <v>243</v>
      </c>
      <c r="E36" s="8" t="s">
        <v>350</v>
      </c>
      <c r="F36" s="25">
        <v>8.4</v>
      </c>
      <c r="G36" s="8"/>
    </row>
    <row r="37" spans="1:7" ht="25.05" customHeight="1">
      <c r="A37" s="6">
        <v>34</v>
      </c>
      <c r="B37" s="7" t="s">
        <v>32</v>
      </c>
      <c r="C37" s="6" t="s">
        <v>111</v>
      </c>
      <c r="D37" s="6" t="s">
        <v>243</v>
      </c>
      <c r="E37" s="8" t="s">
        <v>303</v>
      </c>
      <c r="F37" s="25">
        <v>15.84</v>
      </c>
      <c r="G37" s="8"/>
    </row>
    <row r="38" spans="1:7" ht="25.05" customHeight="1">
      <c r="A38" s="6">
        <v>35</v>
      </c>
      <c r="B38" s="7" t="s">
        <v>32</v>
      </c>
      <c r="C38" s="6" t="s">
        <v>111</v>
      </c>
      <c r="D38" s="6" t="s">
        <v>243</v>
      </c>
      <c r="E38" s="8" t="s">
        <v>247</v>
      </c>
      <c r="F38" s="25">
        <v>2</v>
      </c>
      <c r="G38" s="8"/>
    </row>
    <row r="39" spans="1:7" ht="25.05" customHeight="1">
      <c r="A39" s="6">
        <v>36</v>
      </c>
      <c r="B39" s="7" t="s">
        <v>32</v>
      </c>
      <c r="C39" s="6" t="s">
        <v>111</v>
      </c>
      <c r="D39" s="3" t="s">
        <v>219</v>
      </c>
      <c r="E39" s="9" t="s">
        <v>248</v>
      </c>
      <c r="F39" s="79">
        <v>34.64</v>
      </c>
      <c r="G39" s="9"/>
    </row>
    <row r="40" spans="1:7" ht="25.05" customHeight="1">
      <c r="A40" s="6">
        <v>37</v>
      </c>
      <c r="B40" s="7" t="s">
        <v>32</v>
      </c>
      <c r="C40" s="6" t="s">
        <v>111</v>
      </c>
      <c r="D40" s="6" t="s">
        <v>249</v>
      </c>
      <c r="E40" s="8" t="s">
        <v>366</v>
      </c>
      <c r="F40" s="25">
        <v>10</v>
      </c>
      <c r="G40" s="8"/>
    </row>
    <row r="41" spans="1:7" ht="25.05" customHeight="1">
      <c r="A41" s="6">
        <v>38</v>
      </c>
      <c r="B41" s="7" t="s">
        <v>32</v>
      </c>
      <c r="C41" s="6" t="s">
        <v>111</v>
      </c>
      <c r="D41" s="6" t="s">
        <v>249</v>
      </c>
      <c r="E41" s="8" t="s">
        <v>367</v>
      </c>
      <c r="F41" s="25">
        <v>10</v>
      </c>
      <c r="G41" s="8"/>
    </row>
    <row r="42" spans="1:7" ht="25.05" customHeight="1">
      <c r="A42" s="6">
        <v>39</v>
      </c>
      <c r="B42" s="7" t="s">
        <v>32</v>
      </c>
      <c r="C42" s="6" t="s">
        <v>111</v>
      </c>
      <c r="D42" s="6" t="s">
        <v>249</v>
      </c>
      <c r="E42" s="8" t="s">
        <v>664</v>
      </c>
      <c r="F42" s="25">
        <v>60</v>
      </c>
      <c r="G42" s="8"/>
    </row>
    <row r="43" spans="1:7" ht="25.05" customHeight="1">
      <c r="A43" s="6">
        <v>40</v>
      </c>
      <c r="B43" s="7" t="s">
        <v>32</v>
      </c>
      <c r="C43" s="6" t="s">
        <v>111</v>
      </c>
      <c r="D43" s="6" t="s">
        <v>249</v>
      </c>
      <c r="E43" s="8" t="s">
        <v>369</v>
      </c>
      <c r="F43" s="25">
        <v>10</v>
      </c>
      <c r="G43" s="8"/>
    </row>
    <row r="44" spans="1:7" ht="25.05" customHeight="1">
      <c r="A44" s="6">
        <v>41</v>
      </c>
      <c r="B44" s="7" t="s">
        <v>32</v>
      </c>
      <c r="C44" s="6" t="s">
        <v>111</v>
      </c>
      <c r="D44" s="6" t="s">
        <v>249</v>
      </c>
      <c r="E44" s="8" t="s">
        <v>285</v>
      </c>
      <c r="F44" s="25">
        <v>5</v>
      </c>
      <c r="G44" s="8"/>
    </row>
    <row r="45" spans="1:7" ht="25.05" customHeight="1">
      <c r="A45" s="6">
        <v>42</v>
      </c>
      <c r="B45" s="7" t="s">
        <v>32</v>
      </c>
      <c r="C45" s="6" t="s">
        <v>111</v>
      </c>
      <c r="D45" s="6" t="s">
        <v>249</v>
      </c>
      <c r="E45" s="8" t="s">
        <v>387</v>
      </c>
      <c r="F45" s="25">
        <v>10</v>
      </c>
      <c r="G45" s="8"/>
    </row>
    <row r="46" spans="1:7" ht="25.05" customHeight="1">
      <c r="A46" s="6">
        <v>43</v>
      </c>
      <c r="B46" s="7" t="s">
        <v>32</v>
      </c>
      <c r="C46" s="6" t="s">
        <v>111</v>
      </c>
      <c r="D46" s="3" t="s">
        <v>219</v>
      </c>
      <c r="E46" s="9" t="s">
        <v>255</v>
      </c>
      <c r="F46" s="79">
        <f>SUM(F40:F45)</f>
        <v>105</v>
      </c>
      <c r="G46" s="107"/>
    </row>
    <row r="47" spans="1:7" ht="25.05" customHeight="1">
      <c r="A47" s="6">
        <v>44</v>
      </c>
      <c r="B47" s="7" t="s">
        <v>32</v>
      </c>
      <c r="C47" s="6" t="s">
        <v>111</v>
      </c>
      <c r="D47" s="11" t="s">
        <v>256</v>
      </c>
      <c r="E47" s="11" t="s">
        <v>286</v>
      </c>
      <c r="F47" s="104">
        <v>10</v>
      </c>
      <c r="G47" s="8"/>
    </row>
    <row r="48" spans="1:7" ht="25.05" customHeight="1">
      <c r="A48" s="6">
        <v>45</v>
      </c>
      <c r="B48" s="7" t="s">
        <v>32</v>
      </c>
      <c r="C48" s="6" t="s">
        <v>111</v>
      </c>
      <c r="D48" s="3" t="s">
        <v>219</v>
      </c>
      <c r="E48" s="10" t="s">
        <v>258</v>
      </c>
      <c r="F48" s="79">
        <f>SUM(F47)</f>
        <v>10</v>
      </c>
      <c r="G48" s="9"/>
    </row>
    <row r="49" spans="1:7" ht="25.05" customHeight="1">
      <c r="A49" s="6">
        <v>46</v>
      </c>
      <c r="B49" s="7" t="s">
        <v>32</v>
      </c>
      <c r="C49" s="6" t="s">
        <v>111</v>
      </c>
      <c r="D49" s="6" t="s">
        <v>262</v>
      </c>
      <c r="E49" s="8" t="s">
        <v>263</v>
      </c>
      <c r="F49" s="25">
        <v>80</v>
      </c>
      <c r="G49" s="8"/>
    </row>
    <row r="50" spans="1:7" ht="25.05" customHeight="1">
      <c r="A50" s="6">
        <v>47</v>
      </c>
      <c r="B50" s="7" t="s">
        <v>32</v>
      </c>
      <c r="C50" s="6" t="s">
        <v>111</v>
      </c>
      <c r="D50" s="6" t="s">
        <v>262</v>
      </c>
      <c r="E50" s="8" t="s">
        <v>264</v>
      </c>
      <c r="F50" s="25">
        <v>50</v>
      </c>
      <c r="G50" s="8"/>
    </row>
    <row r="51" spans="1:7" ht="25.05" customHeight="1">
      <c r="A51" s="6">
        <v>48</v>
      </c>
      <c r="B51" s="7" t="s">
        <v>32</v>
      </c>
      <c r="C51" s="6" t="s">
        <v>111</v>
      </c>
      <c r="D51" s="6" t="s">
        <v>262</v>
      </c>
      <c r="E51" s="8" t="s">
        <v>265</v>
      </c>
      <c r="F51" s="25">
        <v>20</v>
      </c>
      <c r="G51" s="8"/>
    </row>
    <row r="52" spans="1:7" ht="25.05" customHeight="1">
      <c r="A52" s="6">
        <v>49</v>
      </c>
      <c r="B52" s="7" t="s">
        <v>32</v>
      </c>
      <c r="C52" s="6" t="s">
        <v>111</v>
      </c>
      <c r="D52" s="3" t="s">
        <v>219</v>
      </c>
      <c r="E52" s="111" t="s">
        <v>266</v>
      </c>
      <c r="F52" s="79">
        <f>SUM(F49:F51)</f>
        <v>150</v>
      </c>
      <c r="G52" s="9"/>
    </row>
    <row r="53" spans="1:7" ht="25.05" customHeight="1">
      <c r="A53" s="6">
        <v>50</v>
      </c>
      <c r="B53" s="7" t="s">
        <v>32</v>
      </c>
      <c r="C53" s="6" t="s">
        <v>111</v>
      </c>
      <c r="D53" s="3" t="s">
        <v>267</v>
      </c>
      <c r="E53" s="10" t="s">
        <v>665</v>
      </c>
      <c r="F53" s="10">
        <v>943</v>
      </c>
      <c r="G53" s="9"/>
    </row>
    <row r="54" spans="1:7" ht="25.05" customHeight="1">
      <c r="A54" s="219" t="s">
        <v>269</v>
      </c>
      <c r="B54" s="219"/>
      <c r="C54" s="219"/>
      <c r="D54" s="219"/>
      <c r="E54" s="219"/>
      <c r="F54" s="219"/>
      <c r="G54" s="219"/>
    </row>
  </sheetData>
  <autoFilter ref="A3:G54" xr:uid="{00000000-0009-0000-0000-000022000000}"/>
  <mergeCells count="3">
    <mergeCell ref="A1:G1"/>
    <mergeCell ref="A2:G2"/>
    <mergeCell ref="A54:G54"/>
  </mergeCells>
  <phoneticPr fontId="23" type="noConversion"/>
  <pageMargins left="0.59055118110236204" right="0.2" top="0.27559055118110198" bottom="0.511811023622047" header="0.27559055118110198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G61"/>
  <sheetViews>
    <sheetView view="pageBreakPreview" zoomScaleNormal="100" workbookViewId="0">
      <selection activeCell="E58" sqref="E58"/>
    </sheetView>
  </sheetViews>
  <sheetFormatPr defaultColWidth="9" defaultRowHeight="15.75"/>
  <cols>
    <col min="1" max="1" width="3.73046875" style="1" customWidth="1"/>
    <col min="2" max="2" width="10.265625" style="2" customWidth="1"/>
    <col min="3" max="3" width="11.19921875" style="1" customWidth="1"/>
    <col min="4" max="4" width="10.9296875" style="1" customWidth="1"/>
    <col min="5" max="5" width="46.53125" style="1" customWidth="1"/>
    <col min="6" max="6" width="6.06640625" style="78" customWidth="1"/>
    <col min="7" max="7" width="8.265625" style="1" customWidth="1"/>
  </cols>
  <sheetData>
    <row r="1" spans="1:7" s="112" customFormat="1" ht="25.05" customHeight="1">
      <c r="A1" s="215" t="s">
        <v>666</v>
      </c>
      <c r="B1" s="215"/>
      <c r="C1" s="215"/>
      <c r="D1" s="215"/>
      <c r="E1" s="215"/>
      <c r="F1" s="235"/>
      <c r="G1" s="235"/>
    </row>
    <row r="2" spans="1:7" s="112" customFormat="1" ht="25.05" customHeight="1">
      <c r="A2" s="228" t="s">
        <v>667</v>
      </c>
      <c r="B2" s="228"/>
      <c r="C2" s="228"/>
      <c r="D2" s="228"/>
      <c r="E2" s="228"/>
      <c r="F2" s="228"/>
      <c r="G2" s="228"/>
    </row>
    <row r="3" spans="1:7" s="112" customFormat="1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s="112" customFormat="1" ht="25.05" customHeight="1">
      <c r="A4" s="6">
        <v>1</v>
      </c>
      <c r="B4" s="7" t="s">
        <v>32</v>
      </c>
      <c r="C4" s="6" t="s">
        <v>114</v>
      </c>
      <c r="D4" s="6" t="s">
        <v>209</v>
      </c>
      <c r="E4" s="8" t="s">
        <v>210</v>
      </c>
      <c r="F4" s="25">
        <v>19</v>
      </c>
      <c r="G4" s="8"/>
    </row>
    <row r="5" spans="1:7" s="112" customFormat="1" ht="25.05" customHeight="1">
      <c r="A5" s="6">
        <v>2</v>
      </c>
      <c r="B5" s="7" t="s">
        <v>32</v>
      </c>
      <c r="C5" s="6" t="s">
        <v>114</v>
      </c>
      <c r="D5" s="6" t="s">
        <v>209</v>
      </c>
      <c r="E5" s="8" t="s">
        <v>211</v>
      </c>
      <c r="F5" s="25">
        <v>15</v>
      </c>
      <c r="G5" s="8"/>
    </row>
    <row r="6" spans="1:7" s="112" customFormat="1" ht="25.05" customHeight="1">
      <c r="A6" s="6">
        <v>3</v>
      </c>
      <c r="B6" s="7" t="s">
        <v>32</v>
      </c>
      <c r="C6" s="6" t="s">
        <v>114</v>
      </c>
      <c r="D6" s="6" t="s">
        <v>209</v>
      </c>
      <c r="E6" s="8" t="s">
        <v>212</v>
      </c>
      <c r="F6" s="25">
        <v>34</v>
      </c>
      <c r="G6" s="8"/>
    </row>
    <row r="7" spans="1:7" s="112" customFormat="1" ht="25.05" customHeight="1">
      <c r="A7" s="6">
        <v>4</v>
      </c>
      <c r="B7" s="7" t="s">
        <v>32</v>
      </c>
      <c r="C7" s="6" t="s">
        <v>114</v>
      </c>
      <c r="D7" s="6" t="s">
        <v>209</v>
      </c>
      <c r="E7" s="8" t="s">
        <v>272</v>
      </c>
      <c r="F7" s="25">
        <v>34</v>
      </c>
      <c r="G7" s="8"/>
    </row>
    <row r="8" spans="1:7" s="112" customFormat="1" ht="25.05" customHeight="1">
      <c r="A8" s="6">
        <v>5</v>
      </c>
      <c r="B8" s="7" t="s">
        <v>32</v>
      </c>
      <c r="C8" s="6" t="s">
        <v>114</v>
      </c>
      <c r="D8" s="6" t="s">
        <v>209</v>
      </c>
      <c r="E8" s="8" t="s">
        <v>214</v>
      </c>
      <c r="F8" s="25">
        <v>26</v>
      </c>
      <c r="G8" s="8"/>
    </row>
    <row r="9" spans="1:7" s="112" customFormat="1" ht="25.05" customHeight="1">
      <c r="A9" s="6">
        <v>6</v>
      </c>
      <c r="B9" s="7" t="s">
        <v>32</v>
      </c>
      <c r="C9" s="6" t="s">
        <v>114</v>
      </c>
      <c r="D9" s="6" t="s">
        <v>209</v>
      </c>
      <c r="E9" s="8" t="s">
        <v>312</v>
      </c>
      <c r="F9" s="25">
        <v>10</v>
      </c>
      <c r="G9" s="8"/>
    </row>
    <row r="10" spans="1:7" s="112" customFormat="1" ht="25.05" customHeight="1">
      <c r="A10" s="6">
        <v>7</v>
      </c>
      <c r="B10" s="7" t="s">
        <v>32</v>
      </c>
      <c r="C10" s="6" t="s">
        <v>114</v>
      </c>
      <c r="D10" s="6" t="s">
        <v>209</v>
      </c>
      <c r="E10" s="8" t="s">
        <v>216</v>
      </c>
      <c r="F10" s="25">
        <v>35</v>
      </c>
      <c r="G10" s="8"/>
    </row>
    <row r="11" spans="1:7" s="112" customFormat="1" ht="25.05" customHeight="1">
      <c r="A11" s="6">
        <v>8</v>
      </c>
      <c r="B11" s="7" t="s">
        <v>32</v>
      </c>
      <c r="C11" s="6" t="s">
        <v>114</v>
      </c>
      <c r="D11" s="6" t="s">
        <v>209</v>
      </c>
      <c r="E11" s="8" t="s">
        <v>292</v>
      </c>
      <c r="F11" s="25">
        <v>12</v>
      </c>
      <c r="G11" s="8"/>
    </row>
    <row r="12" spans="1:7" s="112" customFormat="1" ht="25.05" customHeight="1">
      <c r="A12" s="6">
        <v>9</v>
      </c>
      <c r="B12" s="7" t="s">
        <v>32</v>
      </c>
      <c r="C12" s="6" t="s">
        <v>114</v>
      </c>
      <c r="D12" s="6" t="s">
        <v>209</v>
      </c>
      <c r="E12" s="8" t="s">
        <v>217</v>
      </c>
      <c r="F12" s="25">
        <v>55</v>
      </c>
      <c r="G12" s="8"/>
    </row>
    <row r="13" spans="1:7" s="112" customFormat="1" ht="25.05" customHeight="1">
      <c r="A13" s="6">
        <v>10</v>
      </c>
      <c r="B13" s="7" t="s">
        <v>32</v>
      </c>
      <c r="C13" s="6" t="s">
        <v>114</v>
      </c>
      <c r="D13" s="6" t="s">
        <v>209</v>
      </c>
      <c r="E13" s="8" t="s">
        <v>218</v>
      </c>
      <c r="F13" s="25">
        <v>10</v>
      </c>
      <c r="G13" s="8"/>
    </row>
    <row r="14" spans="1:7" s="112" customFormat="1" ht="25.05" customHeight="1">
      <c r="A14" s="6">
        <v>11</v>
      </c>
      <c r="B14" s="7" t="s">
        <v>32</v>
      </c>
      <c r="C14" s="6" t="s">
        <v>114</v>
      </c>
      <c r="D14" s="3" t="s">
        <v>219</v>
      </c>
      <c r="E14" s="9" t="s">
        <v>220</v>
      </c>
      <c r="F14" s="79">
        <f>SUM(F4:F13)</f>
        <v>250</v>
      </c>
      <c r="G14" s="9"/>
    </row>
    <row r="15" spans="1:7" s="112" customFormat="1" ht="25.05" customHeight="1">
      <c r="A15" s="6">
        <v>12</v>
      </c>
      <c r="B15" s="7" t="s">
        <v>32</v>
      </c>
      <c r="C15" s="6" t="s">
        <v>114</v>
      </c>
      <c r="D15" s="6" t="s">
        <v>221</v>
      </c>
      <c r="E15" s="8" t="s">
        <v>581</v>
      </c>
      <c r="F15" s="25">
        <v>14</v>
      </c>
      <c r="G15" s="8"/>
    </row>
    <row r="16" spans="1:7" s="112" customFormat="1" ht="25.05" customHeight="1">
      <c r="A16" s="6">
        <v>13</v>
      </c>
      <c r="B16" s="7" t="s">
        <v>32</v>
      </c>
      <c r="C16" s="6" t="s">
        <v>114</v>
      </c>
      <c r="D16" s="6" t="s">
        <v>221</v>
      </c>
      <c r="E16" s="8" t="s">
        <v>223</v>
      </c>
      <c r="F16" s="25">
        <v>32</v>
      </c>
      <c r="G16" s="8"/>
    </row>
    <row r="17" spans="1:7" s="112" customFormat="1" ht="25.05" customHeight="1">
      <c r="A17" s="6">
        <v>14</v>
      </c>
      <c r="B17" s="7" t="s">
        <v>32</v>
      </c>
      <c r="C17" s="6" t="s">
        <v>114</v>
      </c>
      <c r="D17" s="6" t="s">
        <v>221</v>
      </c>
      <c r="E17" s="8" t="s">
        <v>224</v>
      </c>
      <c r="F17" s="25">
        <v>9</v>
      </c>
      <c r="G17" s="8"/>
    </row>
    <row r="18" spans="1:7" s="112" customFormat="1" ht="25.05" customHeight="1">
      <c r="A18" s="6">
        <v>15</v>
      </c>
      <c r="B18" s="7" t="s">
        <v>32</v>
      </c>
      <c r="C18" s="6" t="s">
        <v>114</v>
      </c>
      <c r="D18" s="6" t="s">
        <v>221</v>
      </c>
      <c r="E18" s="8" t="s">
        <v>225</v>
      </c>
      <c r="F18" s="25">
        <v>20</v>
      </c>
      <c r="G18" s="8"/>
    </row>
    <row r="19" spans="1:7" s="112" customFormat="1" ht="25.05" customHeight="1">
      <c r="A19" s="6">
        <v>16</v>
      </c>
      <c r="B19" s="7" t="s">
        <v>32</v>
      </c>
      <c r="C19" s="6" t="s">
        <v>114</v>
      </c>
      <c r="D19" s="6" t="s">
        <v>221</v>
      </c>
      <c r="E19" s="8" t="s">
        <v>226</v>
      </c>
      <c r="F19" s="25">
        <v>22</v>
      </c>
      <c r="G19" s="8"/>
    </row>
    <row r="20" spans="1:7" s="112" customFormat="1" ht="25.05" customHeight="1">
      <c r="A20" s="6">
        <v>17</v>
      </c>
      <c r="B20" s="7" t="s">
        <v>32</v>
      </c>
      <c r="C20" s="6" t="s">
        <v>114</v>
      </c>
      <c r="D20" s="6" t="s">
        <v>221</v>
      </c>
      <c r="E20" s="8" t="s">
        <v>391</v>
      </c>
      <c r="F20" s="25">
        <v>20</v>
      </c>
      <c r="G20" s="8"/>
    </row>
    <row r="21" spans="1:7" s="112" customFormat="1" ht="25.05" customHeight="1">
      <c r="A21" s="6">
        <v>18</v>
      </c>
      <c r="B21" s="7" t="s">
        <v>32</v>
      </c>
      <c r="C21" s="6" t="s">
        <v>114</v>
      </c>
      <c r="D21" s="6" t="s">
        <v>221</v>
      </c>
      <c r="E21" s="8" t="s">
        <v>380</v>
      </c>
      <c r="F21" s="25">
        <v>12</v>
      </c>
      <c r="G21" s="8"/>
    </row>
    <row r="22" spans="1:7" s="112" customFormat="1" ht="25.05" customHeight="1">
      <c r="A22" s="6">
        <v>19</v>
      </c>
      <c r="B22" s="7" t="s">
        <v>32</v>
      </c>
      <c r="C22" s="6" t="s">
        <v>114</v>
      </c>
      <c r="D22" s="3" t="s">
        <v>219</v>
      </c>
      <c r="E22" s="9" t="s">
        <v>228</v>
      </c>
      <c r="F22" s="85">
        <f>SUM(F15:F21)</f>
        <v>129</v>
      </c>
      <c r="G22" s="9"/>
    </row>
    <row r="23" spans="1:7" s="112" customFormat="1" ht="25.05" customHeight="1">
      <c r="A23" s="6">
        <v>20</v>
      </c>
      <c r="B23" s="7" t="s">
        <v>32</v>
      </c>
      <c r="C23" s="6" t="s">
        <v>114</v>
      </c>
      <c r="D23" s="6" t="s">
        <v>229</v>
      </c>
      <c r="E23" s="8" t="s">
        <v>583</v>
      </c>
      <c r="F23" s="25">
        <v>14</v>
      </c>
      <c r="G23" s="8"/>
    </row>
    <row r="24" spans="1:7" s="112" customFormat="1" ht="25.05" customHeight="1">
      <c r="A24" s="6">
        <v>21</v>
      </c>
      <c r="B24" s="7" t="s">
        <v>32</v>
      </c>
      <c r="C24" s="6" t="s">
        <v>114</v>
      </c>
      <c r="D24" s="6" t="s">
        <v>229</v>
      </c>
      <c r="E24" s="8" t="s">
        <v>231</v>
      </c>
      <c r="F24" s="25">
        <v>42</v>
      </c>
      <c r="G24" s="8"/>
    </row>
    <row r="25" spans="1:7" s="112" customFormat="1" ht="25.05" customHeight="1">
      <c r="A25" s="6">
        <v>22</v>
      </c>
      <c r="B25" s="7" t="s">
        <v>32</v>
      </c>
      <c r="C25" s="6" t="s">
        <v>114</v>
      </c>
      <c r="D25" s="6" t="s">
        <v>229</v>
      </c>
      <c r="E25" s="8" t="s">
        <v>232</v>
      </c>
      <c r="F25" s="25">
        <v>18</v>
      </c>
      <c r="G25" s="8"/>
    </row>
    <row r="26" spans="1:7" s="112" customFormat="1" ht="25.05" customHeight="1">
      <c r="A26" s="6">
        <v>23</v>
      </c>
      <c r="B26" s="7" t="s">
        <v>32</v>
      </c>
      <c r="C26" s="6" t="s">
        <v>114</v>
      </c>
      <c r="D26" s="6" t="s">
        <v>229</v>
      </c>
      <c r="E26" s="8" t="s">
        <v>233</v>
      </c>
      <c r="F26" s="25">
        <v>25</v>
      </c>
      <c r="G26" s="8"/>
    </row>
    <row r="27" spans="1:7" s="112" customFormat="1" ht="25.05" customHeight="1">
      <c r="A27" s="6">
        <v>24</v>
      </c>
      <c r="B27" s="7" t="s">
        <v>32</v>
      </c>
      <c r="C27" s="6" t="s">
        <v>114</v>
      </c>
      <c r="D27" s="6" t="s">
        <v>229</v>
      </c>
      <c r="E27" s="8" t="s">
        <v>234</v>
      </c>
      <c r="F27" s="25">
        <v>19</v>
      </c>
      <c r="G27" s="8"/>
    </row>
    <row r="28" spans="1:7" s="112" customFormat="1" ht="25.05" customHeight="1">
      <c r="A28" s="6">
        <v>25</v>
      </c>
      <c r="B28" s="7" t="s">
        <v>32</v>
      </c>
      <c r="C28" s="6" t="s">
        <v>114</v>
      </c>
      <c r="D28" s="6" t="s">
        <v>229</v>
      </c>
      <c r="E28" s="8" t="s">
        <v>235</v>
      </c>
      <c r="F28" s="25">
        <v>10</v>
      </c>
      <c r="G28" s="8"/>
    </row>
    <row r="29" spans="1:7" s="112" customFormat="1" ht="25.05" customHeight="1">
      <c r="A29" s="6">
        <v>26</v>
      </c>
      <c r="B29" s="7" t="s">
        <v>32</v>
      </c>
      <c r="C29" s="6" t="s">
        <v>114</v>
      </c>
      <c r="D29" s="6" t="s">
        <v>229</v>
      </c>
      <c r="E29" s="8" t="s">
        <v>237</v>
      </c>
      <c r="F29" s="25">
        <v>8</v>
      </c>
      <c r="G29" s="8"/>
    </row>
    <row r="30" spans="1:7" s="112" customFormat="1" ht="25.05" customHeight="1">
      <c r="A30" s="6">
        <v>27</v>
      </c>
      <c r="B30" s="7" t="s">
        <v>32</v>
      </c>
      <c r="C30" s="6" t="s">
        <v>114</v>
      </c>
      <c r="D30" s="6" t="s">
        <v>229</v>
      </c>
      <c r="E30" s="8" t="s">
        <v>385</v>
      </c>
      <c r="F30" s="25">
        <v>18</v>
      </c>
      <c r="G30" s="8"/>
    </row>
    <row r="31" spans="1:7" s="112" customFormat="1" ht="25.05" customHeight="1">
      <c r="A31" s="6">
        <v>28</v>
      </c>
      <c r="B31" s="7" t="s">
        <v>32</v>
      </c>
      <c r="C31" s="6" t="s">
        <v>114</v>
      </c>
      <c r="D31" s="3" t="s">
        <v>219</v>
      </c>
      <c r="E31" s="9" t="s">
        <v>238</v>
      </c>
      <c r="F31" s="79">
        <f>SUM(F23:F30)</f>
        <v>154</v>
      </c>
      <c r="G31" s="9"/>
    </row>
    <row r="32" spans="1:7" s="112" customFormat="1" ht="25.05" customHeight="1">
      <c r="A32" s="6">
        <v>29</v>
      </c>
      <c r="B32" s="7" t="s">
        <v>32</v>
      </c>
      <c r="C32" s="6" t="s">
        <v>114</v>
      </c>
      <c r="D32" s="6" t="s">
        <v>239</v>
      </c>
      <c r="E32" s="8" t="s">
        <v>240</v>
      </c>
      <c r="F32" s="25">
        <v>70</v>
      </c>
      <c r="G32" s="8"/>
    </row>
    <row r="33" spans="1:7" s="112" customFormat="1" ht="25.05" customHeight="1">
      <c r="A33" s="6">
        <v>30</v>
      </c>
      <c r="B33" s="7" t="s">
        <v>32</v>
      </c>
      <c r="C33" s="6" t="s">
        <v>114</v>
      </c>
      <c r="D33" s="6" t="s">
        <v>239</v>
      </c>
      <c r="E33" s="8" t="s">
        <v>241</v>
      </c>
      <c r="F33" s="25">
        <v>60</v>
      </c>
      <c r="G33" s="8"/>
    </row>
    <row r="34" spans="1:7" s="112" customFormat="1" ht="25.05" customHeight="1">
      <c r="A34" s="6">
        <v>31</v>
      </c>
      <c r="B34" s="7" t="s">
        <v>32</v>
      </c>
      <c r="C34" s="6" t="s">
        <v>114</v>
      </c>
      <c r="D34" s="3" t="s">
        <v>219</v>
      </c>
      <c r="E34" s="9" t="s">
        <v>242</v>
      </c>
      <c r="F34" s="79">
        <v>130</v>
      </c>
      <c r="G34" s="9"/>
    </row>
    <row r="35" spans="1:7" s="112" customFormat="1" ht="25.05" customHeight="1">
      <c r="A35" s="6">
        <v>32</v>
      </c>
      <c r="B35" s="7" t="s">
        <v>32</v>
      </c>
      <c r="C35" s="6" t="s">
        <v>114</v>
      </c>
      <c r="D35" s="6" t="s">
        <v>243</v>
      </c>
      <c r="E35" s="8" t="s">
        <v>277</v>
      </c>
      <c r="F35" s="25">
        <v>10.199999999999999</v>
      </c>
      <c r="G35" s="8"/>
    </row>
    <row r="36" spans="1:7" s="112" customFormat="1" ht="25.05" customHeight="1">
      <c r="A36" s="6">
        <v>33</v>
      </c>
      <c r="B36" s="7" t="s">
        <v>32</v>
      </c>
      <c r="C36" s="6" t="s">
        <v>114</v>
      </c>
      <c r="D36" s="6" t="s">
        <v>243</v>
      </c>
      <c r="E36" s="8" t="s">
        <v>278</v>
      </c>
      <c r="F36" s="25">
        <v>10.199999999999999</v>
      </c>
      <c r="G36" s="8"/>
    </row>
    <row r="37" spans="1:7" s="112" customFormat="1" ht="25.05" customHeight="1">
      <c r="A37" s="6">
        <v>34</v>
      </c>
      <c r="B37" s="7" t="s">
        <v>32</v>
      </c>
      <c r="C37" s="6" t="s">
        <v>114</v>
      </c>
      <c r="D37" s="6" t="s">
        <v>243</v>
      </c>
      <c r="E37" s="8" t="s">
        <v>303</v>
      </c>
      <c r="F37" s="25">
        <v>15.84</v>
      </c>
      <c r="G37" s="8"/>
    </row>
    <row r="38" spans="1:7" s="112" customFormat="1" ht="25.05" customHeight="1">
      <c r="A38" s="6">
        <v>35</v>
      </c>
      <c r="B38" s="7" t="s">
        <v>32</v>
      </c>
      <c r="C38" s="6" t="s">
        <v>114</v>
      </c>
      <c r="D38" s="6" t="s">
        <v>243</v>
      </c>
      <c r="E38" s="8" t="s">
        <v>247</v>
      </c>
      <c r="F38" s="25">
        <v>2</v>
      </c>
      <c r="G38" s="8"/>
    </row>
    <row r="39" spans="1:7" s="112" customFormat="1" ht="25.05" customHeight="1">
      <c r="A39" s="6">
        <v>36</v>
      </c>
      <c r="B39" s="7" t="s">
        <v>32</v>
      </c>
      <c r="C39" s="6" t="s">
        <v>114</v>
      </c>
      <c r="D39" s="3" t="s">
        <v>219</v>
      </c>
      <c r="E39" s="9" t="s">
        <v>248</v>
      </c>
      <c r="F39" s="79">
        <f>SUM(F35:F38)</f>
        <v>38.24</v>
      </c>
      <c r="G39" s="9"/>
    </row>
    <row r="40" spans="1:7" s="112" customFormat="1" ht="25.05" customHeight="1">
      <c r="A40" s="6">
        <v>37</v>
      </c>
      <c r="B40" s="7" t="s">
        <v>32</v>
      </c>
      <c r="C40" s="6" t="s">
        <v>114</v>
      </c>
      <c r="D40" s="6" t="s">
        <v>249</v>
      </c>
      <c r="E40" s="8" t="s">
        <v>668</v>
      </c>
      <c r="F40" s="25">
        <v>12</v>
      </c>
      <c r="G40" s="8"/>
    </row>
    <row r="41" spans="1:7" s="112" customFormat="1" ht="25.05" customHeight="1">
      <c r="A41" s="6">
        <v>38</v>
      </c>
      <c r="B41" s="7" t="s">
        <v>32</v>
      </c>
      <c r="C41" s="6" t="s">
        <v>114</v>
      </c>
      <c r="D41" s="6" t="s">
        <v>249</v>
      </c>
      <c r="E41" s="8" t="s">
        <v>669</v>
      </c>
      <c r="F41" s="25">
        <v>12</v>
      </c>
      <c r="G41" s="8"/>
    </row>
    <row r="42" spans="1:7" s="112" customFormat="1" ht="25.05" customHeight="1">
      <c r="A42" s="6">
        <v>39</v>
      </c>
      <c r="B42" s="7" t="s">
        <v>32</v>
      </c>
      <c r="C42" s="6" t="s">
        <v>114</v>
      </c>
      <c r="D42" s="6" t="s">
        <v>249</v>
      </c>
      <c r="E42" s="8" t="s">
        <v>598</v>
      </c>
      <c r="F42" s="25">
        <v>30</v>
      </c>
      <c r="G42" s="8"/>
    </row>
    <row r="43" spans="1:7" s="112" customFormat="1" ht="25.05" customHeight="1">
      <c r="A43" s="6">
        <v>40</v>
      </c>
      <c r="B43" s="7" t="s">
        <v>32</v>
      </c>
      <c r="C43" s="6" t="s">
        <v>114</v>
      </c>
      <c r="D43" s="6" t="s">
        <v>249</v>
      </c>
      <c r="E43" s="8" t="s">
        <v>599</v>
      </c>
      <c r="F43" s="25">
        <v>10</v>
      </c>
      <c r="G43" s="8"/>
    </row>
    <row r="44" spans="1:7" s="112" customFormat="1" ht="25.05" customHeight="1">
      <c r="A44" s="6">
        <v>41</v>
      </c>
      <c r="B44" s="7" t="s">
        <v>32</v>
      </c>
      <c r="C44" s="6" t="s">
        <v>114</v>
      </c>
      <c r="D44" s="6" t="s">
        <v>249</v>
      </c>
      <c r="E44" s="8" t="s">
        <v>600</v>
      </c>
      <c r="F44" s="25">
        <v>40</v>
      </c>
      <c r="G44" s="8"/>
    </row>
    <row r="45" spans="1:7" s="112" customFormat="1" ht="25.05" customHeight="1">
      <c r="A45" s="6">
        <v>42</v>
      </c>
      <c r="B45" s="7" t="s">
        <v>32</v>
      </c>
      <c r="C45" s="6" t="s">
        <v>114</v>
      </c>
      <c r="D45" s="6" t="s">
        <v>249</v>
      </c>
      <c r="E45" s="8" t="s">
        <v>601</v>
      </c>
      <c r="F45" s="25">
        <v>40</v>
      </c>
      <c r="G45" s="8"/>
    </row>
    <row r="46" spans="1:7" s="112" customFormat="1" ht="25.05" customHeight="1">
      <c r="A46" s="6">
        <v>43</v>
      </c>
      <c r="B46" s="7" t="s">
        <v>32</v>
      </c>
      <c r="C46" s="6" t="s">
        <v>114</v>
      </c>
      <c r="D46" s="6" t="s">
        <v>249</v>
      </c>
      <c r="E46" s="8" t="s">
        <v>670</v>
      </c>
      <c r="F46" s="25">
        <v>60</v>
      </c>
      <c r="G46" s="8"/>
    </row>
    <row r="47" spans="1:7" s="112" customFormat="1" ht="25.05" customHeight="1">
      <c r="A47" s="6">
        <v>44</v>
      </c>
      <c r="B47" s="7" t="s">
        <v>32</v>
      </c>
      <c r="C47" s="6" t="s">
        <v>114</v>
      </c>
      <c r="D47" s="6" t="s">
        <v>249</v>
      </c>
      <c r="E47" s="8" t="s">
        <v>671</v>
      </c>
      <c r="F47" s="25">
        <v>12</v>
      </c>
      <c r="G47" s="8"/>
    </row>
    <row r="48" spans="1:7" s="112" customFormat="1" ht="25.05" customHeight="1">
      <c r="A48" s="6">
        <v>45</v>
      </c>
      <c r="B48" s="7" t="s">
        <v>32</v>
      </c>
      <c r="C48" s="6" t="s">
        <v>114</v>
      </c>
      <c r="D48" s="6" t="s">
        <v>249</v>
      </c>
      <c r="E48" s="8" t="s">
        <v>285</v>
      </c>
      <c r="F48" s="25">
        <v>5</v>
      </c>
      <c r="G48" s="8"/>
    </row>
    <row r="49" spans="1:7" s="112" customFormat="1" ht="25.05" customHeight="1">
      <c r="A49" s="6">
        <v>46</v>
      </c>
      <c r="B49" s="7" t="s">
        <v>32</v>
      </c>
      <c r="C49" s="6" t="s">
        <v>114</v>
      </c>
      <c r="D49" s="6" t="s">
        <v>249</v>
      </c>
      <c r="E49" s="8" t="s">
        <v>387</v>
      </c>
      <c r="F49" s="25">
        <v>10</v>
      </c>
      <c r="G49" s="8"/>
    </row>
    <row r="50" spans="1:7" s="112" customFormat="1" ht="25.05" customHeight="1">
      <c r="A50" s="6">
        <v>47</v>
      </c>
      <c r="B50" s="7" t="s">
        <v>32</v>
      </c>
      <c r="C50" s="6" t="s">
        <v>114</v>
      </c>
      <c r="D50" s="3" t="s">
        <v>219</v>
      </c>
      <c r="E50" s="9" t="s">
        <v>255</v>
      </c>
      <c r="F50" s="79">
        <f>SUM(F40:F49)</f>
        <v>231</v>
      </c>
      <c r="G50" s="9"/>
    </row>
    <row r="51" spans="1:7" s="112" customFormat="1" ht="25.05" customHeight="1">
      <c r="A51" s="6">
        <v>48</v>
      </c>
      <c r="B51" s="7" t="s">
        <v>32</v>
      </c>
      <c r="C51" s="6" t="s">
        <v>114</v>
      </c>
      <c r="D51" s="82" t="s">
        <v>256</v>
      </c>
      <c r="E51" s="11" t="s">
        <v>672</v>
      </c>
      <c r="F51" s="106">
        <v>10</v>
      </c>
      <c r="G51" s="8"/>
    </row>
    <row r="52" spans="1:7" s="112" customFormat="1" ht="25.05" customHeight="1">
      <c r="A52" s="6">
        <v>49</v>
      </c>
      <c r="B52" s="7" t="s">
        <v>32</v>
      </c>
      <c r="C52" s="6" t="s">
        <v>114</v>
      </c>
      <c r="D52" s="82" t="s">
        <v>256</v>
      </c>
      <c r="E52" s="11" t="s">
        <v>673</v>
      </c>
      <c r="F52" s="106">
        <v>30</v>
      </c>
      <c r="G52" s="8"/>
    </row>
    <row r="53" spans="1:7" s="112" customFormat="1" ht="25.05" customHeight="1">
      <c r="A53" s="6">
        <v>50</v>
      </c>
      <c r="B53" s="7" t="s">
        <v>32</v>
      </c>
      <c r="C53" s="6" t="s">
        <v>114</v>
      </c>
      <c r="D53" s="3" t="s">
        <v>219</v>
      </c>
      <c r="E53" s="10" t="s">
        <v>258</v>
      </c>
      <c r="F53" s="79">
        <f>SUM(F51:F52)</f>
        <v>40</v>
      </c>
      <c r="G53" s="9"/>
    </row>
    <row r="54" spans="1:7" s="112" customFormat="1" ht="25.05" customHeight="1">
      <c r="A54" s="6">
        <v>51</v>
      </c>
      <c r="B54" s="7" t="s">
        <v>32</v>
      </c>
      <c r="C54" s="6" t="s">
        <v>114</v>
      </c>
      <c r="D54" s="82" t="s">
        <v>259</v>
      </c>
      <c r="E54" s="11" t="s">
        <v>674</v>
      </c>
      <c r="F54" s="11">
        <v>260</v>
      </c>
      <c r="G54" s="8"/>
    </row>
    <row r="55" spans="1:7" s="112" customFormat="1" ht="25.05" customHeight="1">
      <c r="A55" s="6">
        <v>52</v>
      </c>
      <c r="B55" s="7" t="s">
        <v>32</v>
      </c>
      <c r="C55" s="6" t="s">
        <v>114</v>
      </c>
      <c r="D55" s="3" t="s">
        <v>219</v>
      </c>
      <c r="E55" s="10" t="s">
        <v>261</v>
      </c>
      <c r="F55" s="79">
        <f>SUM(F54)</f>
        <v>260</v>
      </c>
      <c r="G55" s="9"/>
    </row>
    <row r="56" spans="1:7" s="112" customFormat="1" ht="25.05" customHeight="1">
      <c r="A56" s="6">
        <v>53</v>
      </c>
      <c r="B56" s="7" t="s">
        <v>32</v>
      </c>
      <c r="C56" s="6" t="s">
        <v>114</v>
      </c>
      <c r="D56" s="6" t="s">
        <v>262</v>
      </c>
      <c r="E56" s="8" t="s">
        <v>263</v>
      </c>
      <c r="F56" s="25">
        <v>150</v>
      </c>
      <c r="G56" s="8"/>
    </row>
    <row r="57" spans="1:7" s="112" customFormat="1" ht="25.05" customHeight="1">
      <c r="A57" s="6">
        <v>54</v>
      </c>
      <c r="B57" s="7" t="s">
        <v>32</v>
      </c>
      <c r="C57" s="6" t="s">
        <v>114</v>
      </c>
      <c r="D57" s="6" t="s">
        <v>262</v>
      </c>
      <c r="E57" s="8" t="s">
        <v>264</v>
      </c>
      <c r="F57" s="25">
        <v>50</v>
      </c>
      <c r="G57" s="8"/>
    </row>
    <row r="58" spans="1:7" s="112" customFormat="1" ht="25.05" customHeight="1">
      <c r="A58" s="6">
        <v>55</v>
      </c>
      <c r="B58" s="7" t="s">
        <v>32</v>
      </c>
      <c r="C58" s="6" t="s">
        <v>114</v>
      </c>
      <c r="D58" s="6" t="s">
        <v>262</v>
      </c>
      <c r="E58" s="8" t="s">
        <v>265</v>
      </c>
      <c r="F58" s="25">
        <v>20</v>
      </c>
      <c r="G58" s="8"/>
    </row>
    <row r="59" spans="1:7" s="112" customFormat="1" ht="25.05" customHeight="1">
      <c r="A59" s="6">
        <v>56</v>
      </c>
      <c r="B59" s="7" t="s">
        <v>32</v>
      </c>
      <c r="C59" s="6" t="s">
        <v>114</v>
      </c>
      <c r="D59" s="3" t="s">
        <v>219</v>
      </c>
      <c r="E59" s="9" t="s">
        <v>266</v>
      </c>
      <c r="F59" s="79">
        <f>SUM(F56:F58)</f>
        <v>220</v>
      </c>
      <c r="G59" s="9"/>
    </row>
    <row r="60" spans="1:7" s="112" customFormat="1" ht="25.05" customHeight="1">
      <c r="A60" s="6">
        <v>57</v>
      </c>
      <c r="B60" s="7" t="s">
        <v>32</v>
      </c>
      <c r="C60" s="6" t="s">
        <v>114</v>
      </c>
      <c r="D60" s="3" t="s">
        <v>267</v>
      </c>
      <c r="E60" s="10" t="s">
        <v>675</v>
      </c>
      <c r="F60" s="10">
        <v>1452</v>
      </c>
      <c r="G60" s="9"/>
    </row>
    <row r="61" spans="1:7" s="112" customFormat="1" ht="25.05" customHeight="1">
      <c r="A61" s="219" t="s">
        <v>288</v>
      </c>
      <c r="B61" s="219"/>
      <c r="C61" s="219"/>
      <c r="D61" s="219"/>
      <c r="E61" s="219"/>
      <c r="F61" s="219"/>
      <c r="G61" s="219"/>
    </row>
  </sheetData>
  <autoFilter ref="A3:G61" xr:uid="{00000000-0009-0000-0000-000023000000}"/>
  <mergeCells count="3">
    <mergeCell ref="A1:G1"/>
    <mergeCell ref="A2:G2"/>
    <mergeCell ref="A61:G61"/>
  </mergeCells>
  <phoneticPr fontId="23" type="noConversion"/>
  <pageMargins left="0.59055118110236204" right="0.15748031496063" top="0.27559055118110198" bottom="0.511811023622047" header="0.31496062992126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G55"/>
  <sheetViews>
    <sheetView view="pageBreakPreview" zoomScale="115" zoomScaleNormal="100" workbookViewId="0">
      <selection activeCell="E52" sqref="E52"/>
    </sheetView>
  </sheetViews>
  <sheetFormatPr defaultColWidth="9" defaultRowHeight="15.75"/>
  <cols>
    <col min="1" max="1" width="4.06640625" style="1" customWidth="1"/>
    <col min="2" max="2" width="7.9296875" style="2" customWidth="1"/>
    <col min="3" max="3" width="18.46484375" style="1" customWidth="1"/>
    <col min="4" max="4" width="10.265625" style="1" customWidth="1"/>
    <col min="5" max="5" width="43.73046875" style="1" customWidth="1"/>
    <col min="6" max="6" width="6.19921875" style="1" customWidth="1"/>
    <col min="7" max="7" width="6.53125" style="1" customWidth="1"/>
  </cols>
  <sheetData>
    <row r="1" spans="1:7" ht="25.05" customHeight="1">
      <c r="A1" s="215" t="s">
        <v>676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677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678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32</v>
      </c>
      <c r="C5" s="6" t="s">
        <v>678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32</v>
      </c>
      <c r="C6" s="6" t="s">
        <v>678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32</v>
      </c>
      <c r="C7" s="6" t="s">
        <v>678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32</v>
      </c>
      <c r="C8" s="6" t="s">
        <v>678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32</v>
      </c>
      <c r="C9" s="6" t="s">
        <v>678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32</v>
      </c>
      <c r="C10" s="6" t="s">
        <v>678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32</v>
      </c>
      <c r="C11" s="6" t="s">
        <v>678</v>
      </c>
      <c r="D11" s="6" t="s">
        <v>209</v>
      </c>
      <c r="E11" s="8" t="s">
        <v>292</v>
      </c>
      <c r="F11" s="8">
        <v>24</v>
      </c>
      <c r="G11" s="8"/>
    </row>
    <row r="12" spans="1:7" ht="25.05" customHeight="1">
      <c r="A12" s="6">
        <v>9</v>
      </c>
      <c r="B12" s="7" t="s">
        <v>32</v>
      </c>
      <c r="C12" s="6" t="s">
        <v>678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32</v>
      </c>
      <c r="C13" s="6" t="s">
        <v>678</v>
      </c>
      <c r="D13" s="6" t="s">
        <v>209</v>
      </c>
      <c r="E13" s="8" t="s">
        <v>400</v>
      </c>
      <c r="F13" s="8">
        <v>10</v>
      </c>
      <c r="G13" s="8"/>
    </row>
    <row r="14" spans="1:7" ht="25.05" customHeight="1">
      <c r="A14" s="6">
        <v>11</v>
      </c>
      <c r="B14" s="7" t="s">
        <v>32</v>
      </c>
      <c r="C14" s="6" t="s">
        <v>678</v>
      </c>
      <c r="D14" s="3" t="s">
        <v>219</v>
      </c>
      <c r="E14" s="9" t="s">
        <v>220</v>
      </c>
      <c r="F14" s="9">
        <f>SUM(F4:F13)</f>
        <v>267</v>
      </c>
      <c r="G14" s="9"/>
    </row>
    <row r="15" spans="1:7" ht="25.05" customHeight="1">
      <c r="A15" s="6">
        <v>12</v>
      </c>
      <c r="B15" s="7" t="s">
        <v>32</v>
      </c>
      <c r="C15" s="6" t="s">
        <v>678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32</v>
      </c>
      <c r="C16" s="6" t="s">
        <v>678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32</v>
      </c>
      <c r="C17" s="6" t="s">
        <v>678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32</v>
      </c>
      <c r="C18" s="6" t="s">
        <v>678</v>
      </c>
      <c r="D18" s="6" t="s">
        <v>401</v>
      </c>
      <c r="E18" s="8" t="s">
        <v>405</v>
      </c>
      <c r="F18" s="8">
        <v>60</v>
      </c>
      <c r="G18" s="8"/>
    </row>
    <row r="19" spans="1:7" ht="25.05" customHeight="1">
      <c r="A19" s="6">
        <v>16</v>
      </c>
      <c r="B19" s="7" t="s">
        <v>32</v>
      </c>
      <c r="C19" s="6" t="s">
        <v>678</v>
      </c>
      <c r="D19" s="6" t="s">
        <v>401</v>
      </c>
      <c r="E19" s="8" t="s">
        <v>406</v>
      </c>
      <c r="F19" s="8">
        <v>40</v>
      </c>
      <c r="G19" s="8"/>
    </row>
    <row r="20" spans="1:7" ht="25.05" customHeight="1">
      <c r="A20" s="6">
        <v>17</v>
      </c>
      <c r="B20" s="7" t="s">
        <v>32</v>
      </c>
      <c r="C20" s="6" t="s">
        <v>678</v>
      </c>
      <c r="D20" s="6" t="s">
        <v>401</v>
      </c>
      <c r="E20" s="8" t="s">
        <v>407</v>
      </c>
      <c r="F20" s="8">
        <v>200</v>
      </c>
      <c r="G20" s="8"/>
    </row>
    <row r="21" spans="1:7" ht="25.05" customHeight="1">
      <c r="A21" s="6">
        <v>18</v>
      </c>
      <c r="B21" s="7" t="s">
        <v>32</v>
      </c>
      <c r="C21" s="6" t="s">
        <v>678</v>
      </c>
      <c r="D21" s="6" t="s">
        <v>401</v>
      </c>
      <c r="E21" s="8" t="s">
        <v>408</v>
      </c>
      <c r="F21" s="8">
        <v>16</v>
      </c>
      <c r="G21" s="8"/>
    </row>
    <row r="22" spans="1:7" ht="25.05" customHeight="1">
      <c r="A22" s="6">
        <v>19</v>
      </c>
      <c r="B22" s="7" t="s">
        <v>32</v>
      </c>
      <c r="C22" s="6" t="s">
        <v>678</v>
      </c>
      <c r="D22" s="3" t="s">
        <v>219</v>
      </c>
      <c r="E22" s="111" t="s">
        <v>409</v>
      </c>
      <c r="F22" s="9">
        <f>SUM(F15:F21)</f>
        <v>524</v>
      </c>
      <c r="G22" s="9"/>
    </row>
    <row r="23" spans="1:7" ht="25.05" customHeight="1">
      <c r="A23" s="6">
        <v>20</v>
      </c>
      <c r="B23" s="7" t="s">
        <v>32</v>
      </c>
      <c r="C23" s="6" t="s">
        <v>678</v>
      </c>
      <c r="D23" s="6" t="s">
        <v>221</v>
      </c>
      <c r="E23" s="8" t="s">
        <v>581</v>
      </c>
      <c r="F23" s="8">
        <v>14</v>
      </c>
      <c r="G23" s="8"/>
    </row>
    <row r="24" spans="1:7" ht="25.05" customHeight="1">
      <c r="A24" s="6">
        <v>21</v>
      </c>
      <c r="B24" s="7" t="s">
        <v>32</v>
      </c>
      <c r="C24" s="6" t="s">
        <v>678</v>
      </c>
      <c r="D24" s="6" t="s">
        <v>221</v>
      </c>
      <c r="E24" s="8" t="s">
        <v>410</v>
      </c>
      <c r="F24" s="8">
        <v>42</v>
      </c>
      <c r="G24" s="8"/>
    </row>
    <row r="25" spans="1:7" ht="25.05" customHeight="1">
      <c r="A25" s="6">
        <v>22</v>
      </c>
      <c r="B25" s="7" t="s">
        <v>32</v>
      </c>
      <c r="C25" s="6" t="s">
        <v>678</v>
      </c>
      <c r="D25" s="6" t="s">
        <v>221</v>
      </c>
      <c r="E25" s="8" t="s">
        <v>224</v>
      </c>
      <c r="F25" s="8">
        <v>10</v>
      </c>
      <c r="G25" s="8"/>
    </row>
    <row r="26" spans="1:7" ht="25.05" customHeight="1">
      <c r="A26" s="6">
        <v>23</v>
      </c>
      <c r="B26" s="7" t="s">
        <v>32</v>
      </c>
      <c r="C26" s="6" t="s">
        <v>678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32</v>
      </c>
      <c r="C27" s="6" t="s">
        <v>678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32</v>
      </c>
      <c r="C28" s="6" t="s">
        <v>678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32</v>
      </c>
      <c r="C29" s="6" t="s">
        <v>678</v>
      </c>
      <c r="D29" s="3" t="s">
        <v>219</v>
      </c>
      <c r="E29" s="9" t="s">
        <v>228</v>
      </c>
      <c r="F29" s="10">
        <f>SUM(F23:F28)</f>
        <v>128</v>
      </c>
      <c r="G29" s="9"/>
    </row>
    <row r="30" spans="1:7" ht="25.05" customHeight="1">
      <c r="A30" s="6">
        <v>27</v>
      </c>
      <c r="B30" s="7" t="s">
        <v>32</v>
      </c>
      <c r="C30" s="6" t="s">
        <v>678</v>
      </c>
      <c r="D30" s="6" t="s">
        <v>229</v>
      </c>
      <c r="E30" s="8" t="s">
        <v>583</v>
      </c>
      <c r="F30" s="8">
        <v>14</v>
      </c>
      <c r="G30" s="8"/>
    </row>
    <row r="31" spans="1:7" ht="25.05" customHeight="1">
      <c r="A31" s="6">
        <v>28</v>
      </c>
      <c r="B31" s="7" t="s">
        <v>32</v>
      </c>
      <c r="C31" s="6" t="s">
        <v>678</v>
      </c>
      <c r="D31" s="6" t="s">
        <v>229</v>
      </c>
      <c r="E31" s="8" t="s">
        <v>411</v>
      </c>
      <c r="F31" s="8">
        <v>70</v>
      </c>
      <c r="G31" s="8"/>
    </row>
    <row r="32" spans="1:7" ht="25.05" customHeight="1">
      <c r="A32" s="6">
        <v>29</v>
      </c>
      <c r="B32" s="7" t="s">
        <v>32</v>
      </c>
      <c r="C32" s="6" t="s">
        <v>678</v>
      </c>
      <c r="D32" s="6" t="s">
        <v>229</v>
      </c>
      <c r="E32" s="8" t="s">
        <v>412</v>
      </c>
      <c r="F32" s="8">
        <v>40</v>
      </c>
      <c r="G32" s="8"/>
    </row>
    <row r="33" spans="1:7" ht="25.05" customHeight="1">
      <c r="A33" s="6">
        <v>30</v>
      </c>
      <c r="B33" s="7" t="s">
        <v>32</v>
      </c>
      <c r="C33" s="6" t="s">
        <v>678</v>
      </c>
      <c r="D33" s="6" t="s">
        <v>229</v>
      </c>
      <c r="E33" s="8" t="s">
        <v>446</v>
      </c>
      <c r="F33" s="8">
        <v>30</v>
      </c>
      <c r="G33" s="8"/>
    </row>
    <row r="34" spans="1:7" ht="25.05" customHeight="1">
      <c r="A34" s="6">
        <v>31</v>
      </c>
      <c r="B34" s="7" t="s">
        <v>32</v>
      </c>
      <c r="C34" s="6" t="s">
        <v>678</v>
      </c>
      <c r="D34" s="6" t="s">
        <v>229</v>
      </c>
      <c r="E34" s="8" t="s">
        <v>414</v>
      </c>
      <c r="F34" s="8">
        <v>30</v>
      </c>
      <c r="G34" s="8"/>
    </row>
    <row r="35" spans="1:7" ht="25.05" customHeight="1">
      <c r="A35" s="6">
        <v>32</v>
      </c>
      <c r="B35" s="7" t="s">
        <v>32</v>
      </c>
      <c r="C35" s="6" t="s">
        <v>678</v>
      </c>
      <c r="D35" s="6" t="s">
        <v>229</v>
      </c>
      <c r="E35" s="8" t="s">
        <v>679</v>
      </c>
      <c r="F35" s="8">
        <v>120</v>
      </c>
      <c r="G35" s="8"/>
    </row>
    <row r="36" spans="1:7" ht="25.05" customHeight="1">
      <c r="A36" s="6">
        <v>33</v>
      </c>
      <c r="B36" s="7" t="s">
        <v>32</v>
      </c>
      <c r="C36" s="6" t="s">
        <v>678</v>
      </c>
      <c r="D36" s="6" t="s">
        <v>229</v>
      </c>
      <c r="E36" s="8" t="s">
        <v>416</v>
      </c>
      <c r="F36" s="8">
        <v>8</v>
      </c>
      <c r="G36" s="8"/>
    </row>
    <row r="37" spans="1:7" ht="25.05" customHeight="1">
      <c r="A37" s="6">
        <v>34</v>
      </c>
      <c r="B37" s="7" t="s">
        <v>32</v>
      </c>
      <c r="C37" s="6" t="s">
        <v>678</v>
      </c>
      <c r="D37" s="6" t="s">
        <v>229</v>
      </c>
      <c r="E37" s="8" t="s">
        <v>417</v>
      </c>
      <c r="F37" s="8">
        <v>10</v>
      </c>
      <c r="G37" s="8"/>
    </row>
    <row r="38" spans="1:7" ht="25.05" customHeight="1">
      <c r="A38" s="6">
        <v>35</v>
      </c>
      <c r="B38" s="7" t="s">
        <v>32</v>
      </c>
      <c r="C38" s="6" t="s">
        <v>678</v>
      </c>
      <c r="D38" s="3" t="s">
        <v>219</v>
      </c>
      <c r="E38" s="9" t="s">
        <v>238</v>
      </c>
      <c r="F38" s="10">
        <f ca="1">SUM(F30:F38)</f>
        <v>322</v>
      </c>
      <c r="G38" s="9"/>
    </row>
    <row r="39" spans="1:7" ht="25.05" customHeight="1">
      <c r="A39" s="6">
        <v>36</v>
      </c>
      <c r="B39" s="7" t="s">
        <v>32</v>
      </c>
      <c r="C39" s="6" t="s">
        <v>678</v>
      </c>
      <c r="D39" s="6" t="s">
        <v>239</v>
      </c>
      <c r="E39" s="8" t="s">
        <v>240</v>
      </c>
      <c r="F39" s="8">
        <v>70</v>
      </c>
      <c r="G39" s="8"/>
    </row>
    <row r="40" spans="1:7" ht="25.05" customHeight="1">
      <c r="A40" s="6">
        <v>37</v>
      </c>
      <c r="B40" s="7" t="s">
        <v>32</v>
      </c>
      <c r="C40" s="6" t="s">
        <v>678</v>
      </c>
      <c r="D40" s="6" t="s">
        <v>239</v>
      </c>
      <c r="E40" s="8" t="s">
        <v>241</v>
      </c>
      <c r="F40" s="8">
        <v>60</v>
      </c>
      <c r="G40" s="8"/>
    </row>
    <row r="41" spans="1:7" ht="25.05" customHeight="1">
      <c r="A41" s="6">
        <v>38</v>
      </c>
      <c r="B41" s="7" t="s">
        <v>32</v>
      </c>
      <c r="C41" s="6" t="s">
        <v>678</v>
      </c>
      <c r="D41" s="3" t="s">
        <v>219</v>
      </c>
      <c r="E41" s="9" t="s">
        <v>242</v>
      </c>
      <c r="F41" s="9">
        <f>SUM(F39:F40)</f>
        <v>130</v>
      </c>
      <c r="G41" s="9"/>
    </row>
    <row r="42" spans="1:7" ht="25.05" customHeight="1">
      <c r="A42" s="6">
        <v>39</v>
      </c>
      <c r="B42" s="7" t="s">
        <v>32</v>
      </c>
      <c r="C42" s="6" t="s">
        <v>678</v>
      </c>
      <c r="D42" s="6" t="s">
        <v>249</v>
      </c>
      <c r="E42" s="8" t="s">
        <v>281</v>
      </c>
      <c r="F42" s="8">
        <v>10</v>
      </c>
      <c r="G42" s="8"/>
    </row>
    <row r="43" spans="1:7" ht="25.05" customHeight="1">
      <c r="A43" s="6">
        <v>40</v>
      </c>
      <c r="B43" s="7" t="s">
        <v>32</v>
      </c>
      <c r="C43" s="6" t="s">
        <v>678</v>
      </c>
      <c r="D43" s="6" t="s">
        <v>249</v>
      </c>
      <c r="E43" s="8" t="s">
        <v>282</v>
      </c>
      <c r="F43" s="8">
        <v>10</v>
      </c>
      <c r="G43" s="8"/>
    </row>
    <row r="44" spans="1:7" ht="25.05" customHeight="1">
      <c r="A44" s="6">
        <v>41</v>
      </c>
      <c r="B44" s="7" t="s">
        <v>32</v>
      </c>
      <c r="C44" s="6" t="s">
        <v>678</v>
      </c>
      <c r="D44" s="6" t="s">
        <v>249</v>
      </c>
      <c r="E44" s="8" t="s">
        <v>670</v>
      </c>
      <c r="F44" s="8">
        <v>60</v>
      </c>
      <c r="G44" s="8"/>
    </row>
    <row r="45" spans="1:7" ht="25.05" customHeight="1">
      <c r="A45" s="6">
        <v>42</v>
      </c>
      <c r="B45" s="7" t="s">
        <v>32</v>
      </c>
      <c r="C45" s="6" t="s">
        <v>678</v>
      </c>
      <c r="D45" s="6" t="s">
        <v>249</v>
      </c>
      <c r="E45" s="8" t="s">
        <v>284</v>
      </c>
      <c r="F45" s="8">
        <v>10</v>
      </c>
      <c r="G45" s="8"/>
    </row>
    <row r="46" spans="1:7" ht="25.05" customHeight="1">
      <c r="A46" s="6">
        <v>43</v>
      </c>
      <c r="B46" s="7" t="s">
        <v>32</v>
      </c>
      <c r="C46" s="6" t="s">
        <v>678</v>
      </c>
      <c r="D46" s="3" t="s">
        <v>219</v>
      </c>
      <c r="E46" s="9" t="s">
        <v>255</v>
      </c>
      <c r="F46" s="9">
        <f>SUM(F42:F45)</f>
        <v>90</v>
      </c>
      <c r="G46" s="9"/>
    </row>
    <row r="47" spans="1:7" ht="25.05" customHeight="1">
      <c r="A47" s="6">
        <v>44</v>
      </c>
      <c r="B47" s="7" t="s">
        <v>32</v>
      </c>
      <c r="C47" s="6" t="s">
        <v>678</v>
      </c>
      <c r="D47" s="82" t="s">
        <v>256</v>
      </c>
      <c r="E47" s="11" t="s">
        <v>286</v>
      </c>
      <c r="F47" s="8">
        <v>10</v>
      </c>
      <c r="G47" s="8"/>
    </row>
    <row r="48" spans="1:7" ht="25.05" customHeight="1">
      <c r="A48" s="6">
        <v>45</v>
      </c>
      <c r="B48" s="7" t="s">
        <v>32</v>
      </c>
      <c r="C48" s="6" t="s">
        <v>678</v>
      </c>
      <c r="D48" s="3" t="s">
        <v>219</v>
      </c>
      <c r="E48" s="9" t="s">
        <v>258</v>
      </c>
      <c r="F48" s="9">
        <f>SUM(F47)</f>
        <v>10</v>
      </c>
      <c r="G48" s="9"/>
    </row>
    <row r="49" spans="1:7" ht="25.05" customHeight="1">
      <c r="A49" s="6">
        <v>46</v>
      </c>
      <c r="B49" s="7" t="s">
        <v>32</v>
      </c>
      <c r="C49" s="6" t="s">
        <v>678</v>
      </c>
      <c r="D49" s="6" t="s">
        <v>262</v>
      </c>
      <c r="E49" s="8" t="s">
        <v>425</v>
      </c>
      <c r="F49" s="8">
        <v>260</v>
      </c>
      <c r="G49" s="8"/>
    </row>
    <row r="50" spans="1:7" ht="25.05" customHeight="1">
      <c r="A50" s="6">
        <v>47</v>
      </c>
      <c r="B50" s="7" t="s">
        <v>32</v>
      </c>
      <c r="C50" s="6" t="s">
        <v>678</v>
      </c>
      <c r="D50" s="6" t="s">
        <v>262</v>
      </c>
      <c r="E50" s="8" t="s">
        <v>591</v>
      </c>
      <c r="F50" s="25">
        <v>50</v>
      </c>
      <c r="G50" s="8"/>
    </row>
    <row r="51" spans="1:7" ht="25.05" customHeight="1">
      <c r="A51" s="6">
        <v>48</v>
      </c>
      <c r="B51" s="7" t="s">
        <v>32</v>
      </c>
      <c r="C51" s="6" t="s">
        <v>678</v>
      </c>
      <c r="D51" s="6" t="s">
        <v>262</v>
      </c>
      <c r="E51" s="8" t="s">
        <v>264</v>
      </c>
      <c r="F51" s="8">
        <v>40</v>
      </c>
      <c r="G51" s="8"/>
    </row>
    <row r="52" spans="1:7" ht="25.05" customHeight="1">
      <c r="A52" s="6">
        <v>49</v>
      </c>
      <c r="B52" s="7" t="s">
        <v>32</v>
      </c>
      <c r="C52" s="6" t="s">
        <v>678</v>
      </c>
      <c r="D52" s="6" t="s">
        <v>262</v>
      </c>
      <c r="E52" s="8" t="s">
        <v>265</v>
      </c>
      <c r="F52" s="8">
        <v>50</v>
      </c>
      <c r="G52" s="8"/>
    </row>
    <row r="53" spans="1:7" ht="25.05" customHeight="1">
      <c r="A53" s="6">
        <v>50</v>
      </c>
      <c r="B53" s="7" t="s">
        <v>32</v>
      </c>
      <c r="C53" s="6" t="s">
        <v>678</v>
      </c>
      <c r="D53" s="3" t="s">
        <v>219</v>
      </c>
      <c r="E53" s="9" t="s">
        <v>266</v>
      </c>
      <c r="F53" s="9">
        <f>SUM(F49:F52)</f>
        <v>400</v>
      </c>
      <c r="G53" s="9"/>
    </row>
    <row r="54" spans="1:7" ht="26" customHeight="1">
      <c r="A54" s="6">
        <v>51</v>
      </c>
      <c r="B54" s="7" t="s">
        <v>32</v>
      </c>
      <c r="C54" s="6" t="s">
        <v>678</v>
      </c>
      <c r="D54" s="3" t="s">
        <v>267</v>
      </c>
      <c r="E54" s="10" t="s">
        <v>680</v>
      </c>
      <c r="F54" s="10">
        <v>1871</v>
      </c>
      <c r="G54" s="9"/>
    </row>
    <row r="55" spans="1:7" ht="25.05" customHeight="1">
      <c r="A55" s="219" t="s">
        <v>269</v>
      </c>
      <c r="B55" s="219"/>
      <c r="C55" s="219"/>
      <c r="D55" s="219"/>
      <c r="E55" s="219"/>
      <c r="F55" s="219"/>
      <c r="G55" s="219"/>
    </row>
  </sheetData>
  <autoFilter ref="A3:G55" xr:uid="{00000000-0009-0000-0000-000024000000}"/>
  <mergeCells count="3">
    <mergeCell ref="A1:G1"/>
    <mergeCell ref="A2:G2"/>
    <mergeCell ref="A55:G55"/>
  </mergeCells>
  <phoneticPr fontId="23" type="noConversion"/>
  <pageMargins left="0.59055118110236204" right="0.13" top="0.27559055118110198" bottom="0.47244094488188998" header="0.27559055118110198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G50"/>
  <sheetViews>
    <sheetView view="pageBreakPreview" zoomScale="115" zoomScaleNormal="100" workbookViewId="0">
      <selection activeCell="E8" sqref="E8"/>
    </sheetView>
  </sheetViews>
  <sheetFormatPr defaultColWidth="9" defaultRowHeight="19.05" customHeight="1"/>
  <cols>
    <col min="1" max="1" width="4.265625" style="1" customWidth="1"/>
    <col min="2" max="2" width="7.265625" style="2" customWidth="1"/>
    <col min="3" max="3" width="18.9296875" style="1" customWidth="1"/>
    <col min="4" max="4" width="10.796875" style="1" customWidth="1"/>
    <col min="5" max="5" width="42.59765625" style="1" customWidth="1"/>
    <col min="6" max="6" width="6.19921875" style="78" customWidth="1"/>
    <col min="7" max="7" width="6.796875" style="1" customWidth="1"/>
  </cols>
  <sheetData>
    <row r="1" spans="1:7" ht="25.05" customHeight="1">
      <c r="A1" s="215" t="s">
        <v>681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682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120</v>
      </c>
      <c r="C4" s="6" t="s">
        <v>121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120</v>
      </c>
      <c r="C5" s="6" t="s">
        <v>121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120</v>
      </c>
      <c r="C6" s="6" t="s">
        <v>121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120</v>
      </c>
      <c r="C7" s="6" t="s">
        <v>121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120</v>
      </c>
      <c r="C8" s="6" t="s">
        <v>121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120</v>
      </c>
      <c r="C9" s="6" t="s">
        <v>121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120</v>
      </c>
      <c r="C10" s="6" t="s">
        <v>121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120</v>
      </c>
      <c r="C11" s="6" t="s">
        <v>121</v>
      </c>
      <c r="D11" s="6" t="s">
        <v>209</v>
      </c>
      <c r="E11" s="8" t="s">
        <v>292</v>
      </c>
      <c r="F11" s="25">
        <v>18</v>
      </c>
      <c r="G11" s="8"/>
    </row>
    <row r="12" spans="1:7" ht="25.05" customHeight="1">
      <c r="A12" s="6">
        <v>9</v>
      </c>
      <c r="B12" s="7" t="s">
        <v>120</v>
      </c>
      <c r="C12" s="6" t="s">
        <v>121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120</v>
      </c>
      <c r="C13" s="6" t="s">
        <v>121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120</v>
      </c>
      <c r="C14" s="6" t="s">
        <v>121</v>
      </c>
      <c r="D14" s="3" t="s">
        <v>219</v>
      </c>
      <c r="E14" s="9" t="s">
        <v>220</v>
      </c>
      <c r="F14" s="79">
        <f>SUM(F4:F13)</f>
        <v>256</v>
      </c>
      <c r="G14" s="9"/>
    </row>
    <row r="15" spans="1:7" ht="25.05" customHeight="1">
      <c r="A15" s="6">
        <v>12</v>
      </c>
      <c r="B15" s="7" t="s">
        <v>120</v>
      </c>
      <c r="C15" s="6" t="s">
        <v>121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120</v>
      </c>
      <c r="C16" s="6" t="s">
        <v>121</v>
      </c>
      <c r="D16" s="6" t="s">
        <v>221</v>
      </c>
      <c r="E16" s="8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120</v>
      </c>
      <c r="C17" s="6" t="s">
        <v>121</v>
      </c>
      <c r="D17" s="6" t="s">
        <v>221</v>
      </c>
      <c r="E17" s="8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120</v>
      </c>
      <c r="C18" s="6" t="s">
        <v>121</v>
      </c>
      <c r="D18" s="6" t="s">
        <v>221</v>
      </c>
      <c r="E18" s="8" t="s">
        <v>582</v>
      </c>
      <c r="F18" s="25">
        <v>20</v>
      </c>
      <c r="G18" s="8"/>
    </row>
    <row r="19" spans="1:7" ht="25.05" customHeight="1">
      <c r="A19" s="6">
        <v>16</v>
      </c>
      <c r="B19" s="7" t="s">
        <v>120</v>
      </c>
      <c r="C19" s="6" t="s">
        <v>121</v>
      </c>
      <c r="D19" s="6" t="s">
        <v>221</v>
      </c>
      <c r="E19" s="8" t="s">
        <v>226</v>
      </c>
      <c r="F19" s="25">
        <v>22</v>
      </c>
      <c r="G19" s="8"/>
    </row>
    <row r="20" spans="1:7" ht="25.05" customHeight="1">
      <c r="A20" s="6">
        <v>17</v>
      </c>
      <c r="B20" s="7" t="s">
        <v>120</v>
      </c>
      <c r="C20" s="6" t="s">
        <v>121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120</v>
      </c>
      <c r="C21" s="6" t="s">
        <v>121</v>
      </c>
      <c r="D21" s="3" t="s">
        <v>219</v>
      </c>
      <c r="E21" s="9" t="s">
        <v>228</v>
      </c>
      <c r="F21" s="79">
        <f>SUM(F15:F20)</f>
        <v>128</v>
      </c>
      <c r="G21" s="9"/>
    </row>
    <row r="22" spans="1:7" ht="25.05" customHeight="1">
      <c r="A22" s="6">
        <v>19</v>
      </c>
      <c r="B22" s="7" t="s">
        <v>120</v>
      </c>
      <c r="C22" s="6" t="s">
        <v>121</v>
      </c>
      <c r="D22" s="6" t="s">
        <v>229</v>
      </c>
      <c r="E22" s="8" t="s">
        <v>583</v>
      </c>
      <c r="F22" s="25">
        <v>14</v>
      </c>
      <c r="G22" s="8"/>
    </row>
    <row r="23" spans="1:7" ht="25.05" customHeight="1">
      <c r="A23" s="6">
        <v>20</v>
      </c>
      <c r="B23" s="7" t="s">
        <v>120</v>
      </c>
      <c r="C23" s="6" t="s">
        <v>121</v>
      </c>
      <c r="D23" s="6" t="s">
        <v>229</v>
      </c>
      <c r="E23" s="8" t="s">
        <v>411</v>
      </c>
      <c r="F23" s="25">
        <v>52</v>
      </c>
      <c r="G23" s="8"/>
    </row>
    <row r="24" spans="1:7" ht="25.05" customHeight="1">
      <c r="A24" s="6">
        <v>21</v>
      </c>
      <c r="B24" s="7" t="s">
        <v>120</v>
      </c>
      <c r="C24" s="6" t="s">
        <v>121</v>
      </c>
      <c r="D24" s="6" t="s">
        <v>229</v>
      </c>
      <c r="E24" s="8" t="s">
        <v>232</v>
      </c>
      <c r="F24" s="25">
        <v>20</v>
      </c>
      <c r="G24" s="8"/>
    </row>
    <row r="25" spans="1:7" ht="25.05" customHeight="1">
      <c r="A25" s="6">
        <v>22</v>
      </c>
      <c r="B25" s="7" t="s">
        <v>120</v>
      </c>
      <c r="C25" s="6" t="s">
        <v>121</v>
      </c>
      <c r="D25" s="6" t="s">
        <v>229</v>
      </c>
      <c r="E25" s="8" t="s">
        <v>233</v>
      </c>
      <c r="F25" s="25">
        <v>25</v>
      </c>
      <c r="G25" s="8"/>
    </row>
    <row r="26" spans="1:7" ht="25.05" customHeight="1">
      <c r="A26" s="6">
        <v>23</v>
      </c>
      <c r="B26" s="7" t="s">
        <v>120</v>
      </c>
      <c r="C26" s="6" t="s">
        <v>121</v>
      </c>
      <c r="D26" s="6" t="s">
        <v>229</v>
      </c>
      <c r="E26" s="8" t="s">
        <v>234</v>
      </c>
      <c r="F26" s="25">
        <v>20</v>
      </c>
      <c r="G26" s="8"/>
    </row>
    <row r="27" spans="1:7" ht="25.05" customHeight="1">
      <c r="A27" s="6">
        <v>24</v>
      </c>
      <c r="B27" s="7" t="s">
        <v>120</v>
      </c>
      <c r="C27" s="6" t="s">
        <v>121</v>
      </c>
      <c r="D27" s="6" t="s">
        <v>229</v>
      </c>
      <c r="E27" s="8" t="s">
        <v>237</v>
      </c>
      <c r="F27" s="25">
        <v>10</v>
      </c>
      <c r="G27" s="8"/>
    </row>
    <row r="28" spans="1:7" ht="25.05" customHeight="1">
      <c r="A28" s="6">
        <v>25</v>
      </c>
      <c r="B28" s="7" t="s">
        <v>120</v>
      </c>
      <c r="C28" s="6" t="s">
        <v>121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120</v>
      </c>
      <c r="C29" s="6" t="s">
        <v>121</v>
      </c>
      <c r="D29" s="3" t="s">
        <v>219</v>
      </c>
      <c r="E29" s="9" t="s">
        <v>238</v>
      </c>
      <c r="F29" s="79">
        <f>SUM(F22:F28)</f>
        <v>151</v>
      </c>
      <c r="G29" s="9"/>
    </row>
    <row r="30" spans="1:7" ht="25.05" customHeight="1">
      <c r="A30" s="6">
        <v>27</v>
      </c>
      <c r="B30" s="7" t="s">
        <v>120</v>
      </c>
      <c r="C30" s="6" t="s">
        <v>121</v>
      </c>
      <c r="D30" s="6" t="s">
        <v>239</v>
      </c>
      <c r="E30" s="8" t="s">
        <v>240</v>
      </c>
      <c r="F30" s="25">
        <v>90</v>
      </c>
      <c r="G30" s="8"/>
    </row>
    <row r="31" spans="1:7" ht="25.05" customHeight="1">
      <c r="A31" s="6">
        <v>28</v>
      </c>
      <c r="B31" s="7" t="s">
        <v>120</v>
      </c>
      <c r="C31" s="6" t="s">
        <v>121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120</v>
      </c>
      <c r="C32" s="6" t="s">
        <v>121</v>
      </c>
      <c r="D32" s="3" t="s">
        <v>219</v>
      </c>
      <c r="E32" s="9" t="s">
        <v>242</v>
      </c>
      <c r="F32" s="79">
        <f>SUM(F30:F31)</f>
        <v>150</v>
      </c>
      <c r="G32" s="9"/>
    </row>
    <row r="33" spans="1:7" ht="25.05" customHeight="1">
      <c r="A33" s="6">
        <v>30</v>
      </c>
      <c r="B33" s="7" t="s">
        <v>120</v>
      </c>
      <c r="C33" s="6" t="s">
        <v>121</v>
      </c>
      <c r="D33" s="6" t="s">
        <v>249</v>
      </c>
      <c r="E33" s="8" t="s">
        <v>490</v>
      </c>
      <c r="F33" s="25">
        <v>6</v>
      </c>
      <c r="G33" s="8"/>
    </row>
    <row r="34" spans="1:7" ht="25.05" customHeight="1">
      <c r="A34" s="6">
        <v>31</v>
      </c>
      <c r="B34" s="7" t="s">
        <v>120</v>
      </c>
      <c r="C34" s="6" t="s">
        <v>121</v>
      </c>
      <c r="D34" s="6" t="s">
        <v>249</v>
      </c>
      <c r="E34" s="8" t="s">
        <v>491</v>
      </c>
      <c r="F34" s="25">
        <v>6</v>
      </c>
      <c r="G34" s="8"/>
    </row>
    <row r="35" spans="1:7" ht="25.05" customHeight="1">
      <c r="A35" s="6">
        <v>32</v>
      </c>
      <c r="B35" s="7" t="s">
        <v>120</v>
      </c>
      <c r="C35" s="6" t="s">
        <v>121</v>
      </c>
      <c r="D35" s="6" t="s">
        <v>249</v>
      </c>
      <c r="E35" s="8" t="s">
        <v>595</v>
      </c>
      <c r="F35" s="25">
        <v>36</v>
      </c>
      <c r="G35" s="8"/>
    </row>
    <row r="36" spans="1:7" ht="25.05" customHeight="1">
      <c r="A36" s="6">
        <v>33</v>
      </c>
      <c r="B36" s="7" t="s">
        <v>120</v>
      </c>
      <c r="C36" s="6" t="s">
        <v>121</v>
      </c>
      <c r="D36" s="6" t="s">
        <v>249</v>
      </c>
      <c r="E36" s="8" t="s">
        <v>493</v>
      </c>
      <c r="F36" s="25">
        <v>6</v>
      </c>
      <c r="G36" s="8"/>
    </row>
    <row r="37" spans="1:7" ht="25.05" customHeight="1">
      <c r="A37" s="6">
        <v>34</v>
      </c>
      <c r="B37" s="7" t="s">
        <v>120</v>
      </c>
      <c r="C37" s="6" t="s">
        <v>121</v>
      </c>
      <c r="D37" s="6" t="s">
        <v>249</v>
      </c>
      <c r="E37" s="8" t="s">
        <v>322</v>
      </c>
      <c r="F37" s="25">
        <v>2</v>
      </c>
      <c r="G37" s="8"/>
    </row>
    <row r="38" spans="1:7" ht="25.05" customHeight="1">
      <c r="A38" s="6">
        <v>35</v>
      </c>
      <c r="B38" s="7" t="s">
        <v>120</v>
      </c>
      <c r="C38" s="6" t="s">
        <v>121</v>
      </c>
      <c r="D38" s="6" t="s">
        <v>249</v>
      </c>
      <c r="E38" s="8" t="s">
        <v>605</v>
      </c>
      <c r="F38" s="25">
        <v>10</v>
      </c>
      <c r="G38" s="8"/>
    </row>
    <row r="39" spans="1:7" ht="25.05" customHeight="1">
      <c r="A39" s="6">
        <v>36</v>
      </c>
      <c r="B39" s="7" t="s">
        <v>120</v>
      </c>
      <c r="C39" s="6" t="s">
        <v>121</v>
      </c>
      <c r="D39" s="6" t="s">
        <v>249</v>
      </c>
      <c r="E39" s="8" t="s">
        <v>606</v>
      </c>
      <c r="F39" s="25">
        <v>5</v>
      </c>
      <c r="G39" s="8"/>
    </row>
    <row r="40" spans="1:7" ht="25.05" customHeight="1">
      <c r="A40" s="6">
        <v>37</v>
      </c>
      <c r="B40" s="7" t="s">
        <v>120</v>
      </c>
      <c r="C40" s="6" t="s">
        <v>121</v>
      </c>
      <c r="D40" s="3" t="s">
        <v>219</v>
      </c>
      <c r="E40" s="9" t="s">
        <v>255</v>
      </c>
      <c r="F40" s="79">
        <f>SUM(F33:F39)</f>
        <v>71</v>
      </c>
      <c r="G40" s="9"/>
    </row>
    <row r="41" spans="1:7" ht="25.05" customHeight="1">
      <c r="A41" s="6">
        <v>38</v>
      </c>
      <c r="B41" s="7" t="s">
        <v>120</v>
      </c>
      <c r="C41" s="6" t="s">
        <v>121</v>
      </c>
      <c r="D41" s="76" t="s">
        <v>256</v>
      </c>
      <c r="E41" s="109" t="s">
        <v>683</v>
      </c>
      <c r="F41" s="110">
        <v>10</v>
      </c>
      <c r="G41" s="8"/>
    </row>
    <row r="42" spans="1:7" ht="25.05" customHeight="1">
      <c r="A42" s="6">
        <v>39</v>
      </c>
      <c r="B42" s="7" t="s">
        <v>120</v>
      </c>
      <c r="C42" s="6" t="s">
        <v>121</v>
      </c>
      <c r="D42" s="73" t="s">
        <v>256</v>
      </c>
      <c r="E42" s="109" t="s">
        <v>684</v>
      </c>
      <c r="F42" s="110">
        <v>50</v>
      </c>
      <c r="G42" s="8"/>
    </row>
    <row r="43" spans="1:7" ht="25.05" customHeight="1">
      <c r="A43" s="6">
        <v>40</v>
      </c>
      <c r="B43" s="7" t="s">
        <v>120</v>
      </c>
      <c r="C43" s="6" t="s">
        <v>121</v>
      </c>
      <c r="D43" s="3" t="s">
        <v>219</v>
      </c>
      <c r="E43" s="9" t="s">
        <v>258</v>
      </c>
      <c r="F43" s="79">
        <f>SUM(F41:F42)</f>
        <v>60</v>
      </c>
      <c r="G43" s="9"/>
    </row>
    <row r="44" spans="1:7" ht="25.05" customHeight="1">
      <c r="A44" s="6">
        <v>41</v>
      </c>
      <c r="B44" s="7" t="s">
        <v>120</v>
      </c>
      <c r="C44" s="6" t="s">
        <v>121</v>
      </c>
      <c r="D44" s="6" t="s">
        <v>262</v>
      </c>
      <c r="E44" s="8" t="s">
        <v>263</v>
      </c>
      <c r="F44" s="25">
        <v>150</v>
      </c>
      <c r="G44" s="8"/>
    </row>
    <row r="45" spans="1:7" ht="25.05" customHeight="1">
      <c r="A45" s="6">
        <v>42</v>
      </c>
      <c r="B45" s="7" t="s">
        <v>120</v>
      </c>
      <c r="C45" s="6" t="s">
        <v>121</v>
      </c>
      <c r="D45" s="6" t="s">
        <v>262</v>
      </c>
      <c r="E45" s="8" t="s">
        <v>265</v>
      </c>
      <c r="F45" s="25">
        <v>40</v>
      </c>
      <c r="G45" s="8"/>
    </row>
    <row r="46" spans="1:7" ht="25.05" customHeight="1">
      <c r="A46" s="6">
        <v>43</v>
      </c>
      <c r="B46" s="7" t="s">
        <v>120</v>
      </c>
      <c r="C46" s="6" t="s">
        <v>121</v>
      </c>
      <c r="D46" s="6" t="s">
        <v>262</v>
      </c>
      <c r="E46" s="8" t="s">
        <v>264</v>
      </c>
      <c r="F46" s="25">
        <v>40</v>
      </c>
      <c r="G46" s="8"/>
    </row>
    <row r="47" spans="1:7" ht="25.05" customHeight="1">
      <c r="A47" s="6">
        <v>44</v>
      </c>
      <c r="B47" s="7" t="s">
        <v>120</v>
      </c>
      <c r="C47" s="6" t="s">
        <v>121</v>
      </c>
      <c r="D47" s="6" t="s">
        <v>262</v>
      </c>
      <c r="E47" s="8" t="s">
        <v>591</v>
      </c>
      <c r="F47" s="25">
        <v>40</v>
      </c>
      <c r="G47" s="8"/>
    </row>
    <row r="48" spans="1:7" ht="25.05" customHeight="1">
      <c r="A48" s="6">
        <v>45</v>
      </c>
      <c r="B48" s="7" t="s">
        <v>120</v>
      </c>
      <c r="C48" s="6" t="s">
        <v>121</v>
      </c>
      <c r="D48" s="3" t="s">
        <v>219</v>
      </c>
      <c r="E48" s="9" t="s">
        <v>266</v>
      </c>
      <c r="F48" s="79">
        <v>270</v>
      </c>
      <c r="G48" s="9"/>
    </row>
    <row r="49" spans="1:7" ht="25.05" customHeight="1">
      <c r="A49" s="6">
        <v>46</v>
      </c>
      <c r="B49" s="7" t="s">
        <v>120</v>
      </c>
      <c r="C49" s="6" t="s">
        <v>121</v>
      </c>
      <c r="D49" s="3" t="s">
        <v>267</v>
      </c>
      <c r="E49" s="10" t="s">
        <v>685</v>
      </c>
      <c r="F49" s="85">
        <v>1086</v>
      </c>
      <c r="G49" s="9"/>
    </row>
    <row r="50" spans="1:7" ht="25.05" customHeight="1">
      <c r="A50" s="219" t="s">
        <v>357</v>
      </c>
      <c r="B50" s="219"/>
      <c r="C50" s="219"/>
      <c r="D50" s="219"/>
      <c r="E50" s="219"/>
      <c r="F50" s="219"/>
      <c r="G50" s="219"/>
    </row>
  </sheetData>
  <autoFilter ref="A3:G50" xr:uid="{00000000-0009-0000-0000-000025000000}"/>
  <mergeCells count="3">
    <mergeCell ref="A1:G1"/>
    <mergeCell ref="A2:G2"/>
    <mergeCell ref="A50:G50"/>
  </mergeCells>
  <phoneticPr fontId="23" type="noConversion"/>
  <pageMargins left="0.59055118110236204" right="0.15748031496063" top="0.27559055118110198" bottom="0.43307086614173201" header="0.31496062992126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I60"/>
  <sheetViews>
    <sheetView view="pageBreakPreview" zoomScale="130" zoomScaleNormal="100" workbookViewId="0">
      <selection activeCell="E65" sqref="E65"/>
    </sheetView>
  </sheetViews>
  <sheetFormatPr defaultColWidth="9" defaultRowHeight="19.05" customHeight="1"/>
  <cols>
    <col min="1" max="1" width="4.06640625" style="1" customWidth="1"/>
    <col min="2" max="2" width="8.19921875" style="2" customWidth="1"/>
    <col min="3" max="3" width="18.265625" style="1" customWidth="1"/>
    <col min="4" max="4" width="9.9296875" style="1" customWidth="1"/>
    <col min="5" max="5" width="43" style="1" customWidth="1"/>
    <col min="6" max="6" width="6.59765625" style="78" customWidth="1"/>
    <col min="7" max="7" width="6.796875" style="1" customWidth="1"/>
  </cols>
  <sheetData>
    <row r="1" spans="1:7" ht="25.05" customHeight="1">
      <c r="A1" s="215" t="s">
        <v>686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687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120</v>
      </c>
      <c r="C4" s="6" t="s">
        <v>124</v>
      </c>
      <c r="D4" s="6" t="s">
        <v>209</v>
      </c>
      <c r="E4" s="8" t="s">
        <v>614</v>
      </c>
      <c r="F4" s="25">
        <v>38</v>
      </c>
      <c r="G4" s="8"/>
    </row>
    <row r="5" spans="1:7" ht="25.05" customHeight="1">
      <c r="A5" s="6">
        <v>2</v>
      </c>
      <c r="B5" s="7" t="s">
        <v>120</v>
      </c>
      <c r="C5" s="6" t="s">
        <v>124</v>
      </c>
      <c r="D5" s="6" t="s">
        <v>209</v>
      </c>
      <c r="E5" s="8" t="s">
        <v>615</v>
      </c>
      <c r="F5" s="25">
        <v>30</v>
      </c>
      <c r="G5" s="8"/>
    </row>
    <row r="6" spans="1:7" ht="25.05" customHeight="1">
      <c r="A6" s="6">
        <v>3</v>
      </c>
      <c r="B6" s="7" t="s">
        <v>120</v>
      </c>
      <c r="C6" s="6" t="s">
        <v>124</v>
      </c>
      <c r="D6" s="6" t="s">
        <v>209</v>
      </c>
      <c r="E6" s="8" t="s">
        <v>616</v>
      </c>
      <c r="F6" s="25">
        <v>280</v>
      </c>
      <c r="G6" s="8"/>
    </row>
    <row r="7" spans="1:7" ht="25.05" customHeight="1">
      <c r="A7" s="6">
        <v>4</v>
      </c>
      <c r="B7" s="7" t="s">
        <v>120</v>
      </c>
      <c r="C7" s="6" t="s">
        <v>124</v>
      </c>
      <c r="D7" s="6" t="s">
        <v>209</v>
      </c>
      <c r="E7" s="8" t="s">
        <v>617</v>
      </c>
      <c r="F7" s="25">
        <v>20</v>
      </c>
      <c r="G7" s="8"/>
    </row>
    <row r="8" spans="1:7" ht="25.05" customHeight="1">
      <c r="A8" s="6">
        <v>5</v>
      </c>
      <c r="B8" s="7" t="s">
        <v>120</v>
      </c>
      <c r="C8" s="6" t="s">
        <v>124</v>
      </c>
      <c r="D8" s="6" t="s">
        <v>209</v>
      </c>
      <c r="E8" s="8" t="s">
        <v>618</v>
      </c>
      <c r="F8" s="25">
        <v>70</v>
      </c>
      <c r="G8" s="8"/>
    </row>
    <row r="9" spans="1:7" ht="25.05" customHeight="1">
      <c r="A9" s="6">
        <v>6</v>
      </c>
      <c r="B9" s="7" t="s">
        <v>120</v>
      </c>
      <c r="C9" s="6" t="s">
        <v>124</v>
      </c>
      <c r="D9" s="6" t="s">
        <v>209</v>
      </c>
      <c r="E9" s="8" t="s">
        <v>619</v>
      </c>
      <c r="F9" s="25">
        <v>24</v>
      </c>
      <c r="G9" s="8"/>
    </row>
    <row r="10" spans="1:7" ht="25.05" customHeight="1">
      <c r="A10" s="6">
        <v>7</v>
      </c>
      <c r="B10" s="7" t="s">
        <v>120</v>
      </c>
      <c r="C10" s="6" t="s">
        <v>124</v>
      </c>
      <c r="D10" s="6" t="s">
        <v>209</v>
      </c>
      <c r="E10" s="8" t="s">
        <v>620</v>
      </c>
      <c r="F10" s="25">
        <v>100</v>
      </c>
      <c r="G10" s="8"/>
    </row>
    <row r="11" spans="1:7" ht="25.05" customHeight="1">
      <c r="A11" s="6">
        <v>8</v>
      </c>
      <c r="B11" s="7" t="s">
        <v>120</v>
      </c>
      <c r="C11" s="6" t="s">
        <v>124</v>
      </c>
      <c r="D11" s="6" t="s">
        <v>209</v>
      </c>
      <c r="E11" s="8" t="s">
        <v>621</v>
      </c>
      <c r="F11" s="25">
        <v>20</v>
      </c>
      <c r="G11" s="8"/>
    </row>
    <row r="12" spans="1:7" ht="25.05" customHeight="1">
      <c r="A12" s="6">
        <v>9</v>
      </c>
      <c r="B12" s="7" t="s">
        <v>120</v>
      </c>
      <c r="C12" s="6" t="s">
        <v>124</v>
      </c>
      <c r="D12" s="3" t="s">
        <v>219</v>
      </c>
      <c r="E12" s="9" t="s">
        <v>220</v>
      </c>
      <c r="F12" s="79">
        <f>SUM(F4:F11)</f>
        <v>582</v>
      </c>
      <c r="G12" s="9"/>
    </row>
    <row r="13" spans="1:7" ht="25.05" customHeight="1">
      <c r="A13" s="6">
        <v>10</v>
      </c>
      <c r="B13" s="7" t="s">
        <v>120</v>
      </c>
      <c r="C13" s="6" t="s">
        <v>124</v>
      </c>
      <c r="D13" s="6" t="s">
        <v>221</v>
      </c>
      <c r="E13" s="8" t="s">
        <v>581</v>
      </c>
      <c r="F13" s="25">
        <v>14</v>
      </c>
      <c r="G13" s="8"/>
    </row>
    <row r="14" spans="1:7" ht="25.05" customHeight="1">
      <c r="A14" s="6">
        <v>11</v>
      </c>
      <c r="B14" s="7" t="s">
        <v>120</v>
      </c>
      <c r="C14" s="6" t="s">
        <v>124</v>
      </c>
      <c r="D14" s="6" t="s">
        <v>221</v>
      </c>
      <c r="E14" s="8" t="s">
        <v>410</v>
      </c>
      <c r="F14" s="25">
        <v>42</v>
      </c>
      <c r="G14" s="8"/>
    </row>
    <row r="15" spans="1:7" ht="25.05" customHeight="1">
      <c r="A15" s="6">
        <v>12</v>
      </c>
      <c r="B15" s="7" t="s">
        <v>120</v>
      </c>
      <c r="C15" s="6" t="s">
        <v>124</v>
      </c>
      <c r="D15" s="6" t="s">
        <v>221</v>
      </c>
      <c r="E15" s="8" t="s">
        <v>224</v>
      </c>
      <c r="F15" s="25">
        <v>12</v>
      </c>
      <c r="G15" s="8"/>
    </row>
    <row r="16" spans="1:7" ht="25.05" customHeight="1">
      <c r="A16" s="6">
        <v>13</v>
      </c>
      <c r="B16" s="7" t="s">
        <v>120</v>
      </c>
      <c r="C16" s="6" t="s">
        <v>124</v>
      </c>
      <c r="D16" s="6" t="s">
        <v>221</v>
      </c>
      <c r="E16" s="8" t="s">
        <v>582</v>
      </c>
      <c r="F16" s="25">
        <v>25</v>
      </c>
      <c r="G16" s="8"/>
    </row>
    <row r="17" spans="1:9" ht="25.05" customHeight="1">
      <c r="A17" s="6">
        <v>14</v>
      </c>
      <c r="B17" s="7" t="s">
        <v>120</v>
      </c>
      <c r="C17" s="6" t="s">
        <v>124</v>
      </c>
      <c r="D17" s="6" t="s">
        <v>221</v>
      </c>
      <c r="E17" s="8" t="s">
        <v>226</v>
      </c>
      <c r="F17" s="25">
        <v>27</v>
      </c>
      <c r="G17" s="8"/>
    </row>
    <row r="18" spans="1:9" ht="25.05" customHeight="1">
      <c r="A18" s="6">
        <v>15</v>
      </c>
      <c r="B18" s="7" t="s">
        <v>120</v>
      </c>
      <c r="C18" s="6" t="s">
        <v>124</v>
      </c>
      <c r="D18" s="6" t="s">
        <v>221</v>
      </c>
      <c r="E18" s="8" t="s">
        <v>227</v>
      </c>
      <c r="F18" s="25">
        <v>20</v>
      </c>
      <c r="G18" s="8"/>
    </row>
    <row r="19" spans="1:9" ht="25.05" customHeight="1">
      <c r="A19" s="6">
        <v>16</v>
      </c>
      <c r="B19" s="7" t="s">
        <v>120</v>
      </c>
      <c r="C19" s="6" t="s">
        <v>124</v>
      </c>
      <c r="D19" s="3" t="s">
        <v>219</v>
      </c>
      <c r="E19" s="9" t="s">
        <v>228</v>
      </c>
      <c r="F19" s="79">
        <f>SUM(F13:F18)</f>
        <v>140</v>
      </c>
      <c r="G19" s="9"/>
    </row>
    <row r="20" spans="1:9" ht="25.05" customHeight="1">
      <c r="A20" s="6">
        <v>17</v>
      </c>
      <c r="B20" s="7" t="s">
        <v>120</v>
      </c>
      <c r="C20" s="6" t="s">
        <v>124</v>
      </c>
      <c r="D20" s="6" t="s">
        <v>229</v>
      </c>
      <c r="E20" s="8" t="s">
        <v>622</v>
      </c>
      <c r="F20" s="25">
        <v>7</v>
      </c>
      <c r="G20" s="8"/>
    </row>
    <row r="21" spans="1:9" ht="25.05" customHeight="1">
      <c r="A21" s="6">
        <v>18</v>
      </c>
      <c r="B21" s="7" t="s">
        <v>120</v>
      </c>
      <c r="C21" s="6" t="s">
        <v>124</v>
      </c>
      <c r="D21" s="6" t="s">
        <v>229</v>
      </c>
      <c r="E21" s="8" t="s">
        <v>623</v>
      </c>
      <c r="F21" s="25">
        <v>55</v>
      </c>
      <c r="G21" s="8"/>
    </row>
    <row r="22" spans="1:9" ht="25.05" customHeight="1">
      <c r="A22" s="6">
        <v>19</v>
      </c>
      <c r="B22" s="7" t="s">
        <v>120</v>
      </c>
      <c r="C22" s="6" t="s">
        <v>124</v>
      </c>
      <c r="D22" s="6" t="s">
        <v>229</v>
      </c>
      <c r="E22" s="8" t="s">
        <v>624</v>
      </c>
      <c r="F22" s="25">
        <v>15</v>
      </c>
      <c r="G22" s="8"/>
    </row>
    <row r="23" spans="1:9" ht="25.05" customHeight="1">
      <c r="A23" s="6">
        <v>20</v>
      </c>
      <c r="B23" s="7" t="s">
        <v>120</v>
      </c>
      <c r="C23" s="6" t="s">
        <v>124</v>
      </c>
      <c r="D23" s="6" t="s">
        <v>229</v>
      </c>
      <c r="E23" s="8" t="s">
        <v>625</v>
      </c>
      <c r="F23" s="25">
        <v>25</v>
      </c>
      <c r="G23" s="8"/>
    </row>
    <row r="24" spans="1:9" ht="25.05" customHeight="1">
      <c r="A24" s="6">
        <v>21</v>
      </c>
      <c r="B24" s="7" t="s">
        <v>120</v>
      </c>
      <c r="C24" s="6" t="s">
        <v>124</v>
      </c>
      <c r="D24" s="6" t="s">
        <v>229</v>
      </c>
      <c r="E24" s="8" t="s">
        <v>626</v>
      </c>
      <c r="F24" s="25">
        <v>8</v>
      </c>
      <c r="G24" s="8"/>
    </row>
    <row r="25" spans="1:9" ht="25.05" customHeight="1">
      <c r="A25" s="6">
        <v>22</v>
      </c>
      <c r="B25" s="7" t="s">
        <v>120</v>
      </c>
      <c r="C25" s="6" t="s">
        <v>124</v>
      </c>
      <c r="D25" s="6" t="s">
        <v>229</v>
      </c>
      <c r="E25" s="8" t="s">
        <v>627</v>
      </c>
      <c r="F25" s="25">
        <v>10</v>
      </c>
      <c r="G25" s="8"/>
    </row>
    <row r="26" spans="1:9" ht="25.05" customHeight="1">
      <c r="A26" s="6">
        <v>23</v>
      </c>
      <c r="B26" s="7" t="s">
        <v>120</v>
      </c>
      <c r="C26" s="6" t="s">
        <v>124</v>
      </c>
      <c r="D26" s="6" t="s">
        <v>229</v>
      </c>
      <c r="E26" s="8" t="s">
        <v>628</v>
      </c>
      <c r="F26" s="25">
        <v>60</v>
      </c>
      <c r="G26" s="8"/>
    </row>
    <row r="27" spans="1:9" ht="25.05" customHeight="1">
      <c r="A27" s="6">
        <v>24</v>
      </c>
      <c r="B27" s="7" t="s">
        <v>120</v>
      </c>
      <c r="C27" s="6" t="s">
        <v>124</v>
      </c>
      <c r="D27" s="3" t="s">
        <v>219</v>
      </c>
      <c r="E27" s="9" t="s">
        <v>238</v>
      </c>
      <c r="F27" s="79">
        <f>SUM(F20:F26)</f>
        <v>180</v>
      </c>
      <c r="G27" s="9"/>
      <c r="I27" s="108"/>
    </row>
    <row r="28" spans="1:9" ht="25.05" customHeight="1">
      <c r="A28" s="6">
        <v>25</v>
      </c>
      <c r="B28" s="7" t="s">
        <v>120</v>
      </c>
      <c r="C28" s="6" t="s">
        <v>124</v>
      </c>
      <c r="D28" s="6" t="s">
        <v>629</v>
      </c>
      <c r="E28" s="8" t="s">
        <v>630</v>
      </c>
      <c r="F28" s="25">
        <v>10</v>
      </c>
      <c r="G28" s="8"/>
    </row>
    <row r="29" spans="1:9" ht="25.05" customHeight="1">
      <c r="A29" s="6">
        <v>26</v>
      </c>
      <c r="B29" s="7" t="s">
        <v>120</v>
      </c>
      <c r="C29" s="6" t="s">
        <v>124</v>
      </c>
      <c r="D29" s="6" t="s">
        <v>629</v>
      </c>
      <c r="E29" s="8" t="s">
        <v>631</v>
      </c>
      <c r="F29" s="25">
        <v>45</v>
      </c>
      <c r="G29" s="8"/>
    </row>
    <row r="30" spans="1:9" ht="25.05" customHeight="1">
      <c r="A30" s="6">
        <v>27</v>
      </c>
      <c r="B30" s="7" t="s">
        <v>120</v>
      </c>
      <c r="C30" s="6" t="s">
        <v>124</v>
      </c>
      <c r="D30" s="6" t="s">
        <v>629</v>
      </c>
      <c r="E30" s="8" t="s">
        <v>632</v>
      </c>
      <c r="F30" s="25">
        <v>20</v>
      </c>
      <c r="G30" s="8"/>
    </row>
    <row r="31" spans="1:9" ht="25.05" customHeight="1">
      <c r="A31" s="6">
        <v>28</v>
      </c>
      <c r="B31" s="7" t="s">
        <v>120</v>
      </c>
      <c r="C31" s="6" t="s">
        <v>124</v>
      </c>
      <c r="D31" s="6" t="s">
        <v>629</v>
      </c>
      <c r="E31" s="8" t="s">
        <v>633</v>
      </c>
      <c r="F31" s="25">
        <v>25</v>
      </c>
      <c r="G31" s="8"/>
    </row>
    <row r="32" spans="1:9" ht="25.05" customHeight="1">
      <c r="A32" s="6">
        <v>29</v>
      </c>
      <c r="B32" s="7" t="s">
        <v>120</v>
      </c>
      <c r="C32" s="6" t="s">
        <v>124</v>
      </c>
      <c r="D32" s="6" t="s">
        <v>629</v>
      </c>
      <c r="E32" s="8" t="s">
        <v>634</v>
      </c>
      <c r="F32" s="25">
        <v>10</v>
      </c>
      <c r="G32" s="8"/>
    </row>
    <row r="33" spans="1:7" ht="25.05" customHeight="1">
      <c r="A33" s="6">
        <v>30</v>
      </c>
      <c r="B33" s="7" t="s">
        <v>120</v>
      </c>
      <c r="C33" s="6" t="s">
        <v>124</v>
      </c>
      <c r="D33" s="6" t="s">
        <v>629</v>
      </c>
      <c r="E33" s="8" t="s">
        <v>635</v>
      </c>
      <c r="F33" s="25">
        <v>30</v>
      </c>
      <c r="G33" s="8"/>
    </row>
    <row r="34" spans="1:7" ht="25.05" customHeight="1">
      <c r="A34" s="6">
        <v>31</v>
      </c>
      <c r="B34" s="7" t="s">
        <v>120</v>
      </c>
      <c r="C34" s="6" t="s">
        <v>124</v>
      </c>
      <c r="D34" s="6" t="s">
        <v>629</v>
      </c>
      <c r="E34" s="8" t="s">
        <v>636</v>
      </c>
      <c r="F34" s="25">
        <v>60</v>
      </c>
      <c r="G34" s="8"/>
    </row>
    <row r="35" spans="1:7" ht="25.05" customHeight="1">
      <c r="A35" s="6">
        <v>32</v>
      </c>
      <c r="B35" s="7" t="s">
        <v>120</v>
      </c>
      <c r="C35" s="6" t="s">
        <v>124</v>
      </c>
      <c r="D35" s="6" t="s">
        <v>629</v>
      </c>
      <c r="E35" s="8" t="s">
        <v>637</v>
      </c>
      <c r="F35" s="25">
        <v>10</v>
      </c>
      <c r="G35" s="8"/>
    </row>
    <row r="36" spans="1:7" ht="25.05" customHeight="1">
      <c r="A36" s="6">
        <v>33</v>
      </c>
      <c r="B36" s="7" t="s">
        <v>120</v>
      </c>
      <c r="C36" s="6" t="s">
        <v>124</v>
      </c>
      <c r="D36" s="3" t="s">
        <v>219</v>
      </c>
      <c r="E36" s="9" t="s">
        <v>639</v>
      </c>
      <c r="F36" s="79">
        <f>SUM(F28:F35)</f>
        <v>210</v>
      </c>
      <c r="G36" s="9"/>
    </row>
    <row r="37" spans="1:7" ht="25.05" customHeight="1">
      <c r="A37" s="6">
        <v>34</v>
      </c>
      <c r="B37" s="7" t="s">
        <v>120</v>
      </c>
      <c r="C37" s="6" t="s">
        <v>124</v>
      </c>
      <c r="D37" s="6" t="s">
        <v>401</v>
      </c>
      <c r="E37" s="8" t="s">
        <v>640</v>
      </c>
      <c r="F37" s="25">
        <v>17</v>
      </c>
      <c r="G37" s="8"/>
    </row>
    <row r="38" spans="1:7" ht="25.05" customHeight="1">
      <c r="A38" s="6">
        <v>35</v>
      </c>
      <c r="B38" s="7" t="s">
        <v>120</v>
      </c>
      <c r="C38" s="6" t="s">
        <v>124</v>
      </c>
      <c r="D38" s="6" t="s">
        <v>401</v>
      </c>
      <c r="E38" s="8" t="s">
        <v>641</v>
      </c>
      <c r="F38" s="25">
        <v>17</v>
      </c>
      <c r="G38" s="8"/>
    </row>
    <row r="39" spans="1:7" ht="25.05" customHeight="1">
      <c r="A39" s="6">
        <v>36</v>
      </c>
      <c r="B39" s="7" t="s">
        <v>120</v>
      </c>
      <c r="C39" s="6" t="s">
        <v>124</v>
      </c>
      <c r="D39" s="6" t="s">
        <v>401</v>
      </c>
      <c r="E39" s="8" t="s">
        <v>642</v>
      </c>
      <c r="F39" s="25">
        <v>70</v>
      </c>
      <c r="G39" s="8"/>
    </row>
    <row r="40" spans="1:7" ht="25.05" customHeight="1">
      <c r="A40" s="6">
        <v>37</v>
      </c>
      <c r="B40" s="7" t="s">
        <v>120</v>
      </c>
      <c r="C40" s="6" t="s">
        <v>124</v>
      </c>
      <c r="D40" s="6" t="s">
        <v>401</v>
      </c>
      <c r="E40" s="8" t="s">
        <v>643</v>
      </c>
      <c r="F40" s="25">
        <v>30</v>
      </c>
      <c r="G40" s="8"/>
    </row>
    <row r="41" spans="1:7" ht="25.05" customHeight="1">
      <c r="A41" s="6">
        <v>38</v>
      </c>
      <c r="B41" s="7" t="s">
        <v>120</v>
      </c>
      <c r="C41" s="6" t="s">
        <v>124</v>
      </c>
      <c r="D41" s="6" t="s">
        <v>401</v>
      </c>
      <c r="E41" s="8" t="s">
        <v>644</v>
      </c>
      <c r="F41" s="25">
        <v>20</v>
      </c>
      <c r="G41" s="8"/>
    </row>
    <row r="42" spans="1:7" ht="25.05" customHeight="1">
      <c r="A42" s="6">
        <v>39</v>
      </c>
      <c r="B42" s="7" t="s">
        <v>120</v>
      </c>
      <c r="C42" s="6" t="s">
        <v>124</v>
      </c>
      <c r="D42" s="6" t="s">
        <v>401</v>
      </c>
      <c r="E42" s="8" t="s">
        <v>645</v>
      </c>
      <c r="F42" s="25">
        <v>120</v>
      </c>
      <c r="G42" s="8"/>
    </row>
    <row r="43" spans="1:7" ht="25.05" customHeight="1">
      <c r="A43" s="6">
        <v>40</v>
      </c>
      <c r="B43" s="7" t="s">
        <v>120</v>
      </c>
      <c r="C43" s="6" t="s">
        <v>124</v>
      </c>
      <c r="D43" s="6" t="s">
        <v>401</v>
      </c>
      <c r="E43" s="8" t="s">
        <v>646</v>
      </c>
      <c r="F43" s="25">
        <v>10</v>
      </c>
      <c r="G43" s="8"/>
    </row>
    <row r="44" spans="1:7" ht="25.05" customHeight="1">
      <c r="A44" s="6">
        <v>41</v>
      </c>
      <c r="B44" s="7" t="s">
        <v>120</v>
      </c>
      <c r="C44" s="6" t="s">
        <v>124</v>
      </c>
      <c r="D44" s="3" t="s">
        <v>219</v>
      </c>
      <c r="E44" s="9" t="s">
        <v>409</v>
      </c>
      <c r="F44" s="79">
        <f>SUM(F37:F43)</f>
        <v>284</v>
      </c>
      <c r="G44" s="9"/>
    </row>
    <row r="45" spans="1:7" ht="25.05" customHeight="1">
      <c r="A45" s="6">
        <v>42</v>
      </c>
      <c r="B45" s="7" t="s">
        <v>120</v>
      </c>
      <c r="C45" s="6" t="s">
        <v>124</v>
      </c>
      <c r="D45" s="8" t="s">
        <v>239</v>
      </c>
      <c r="E45" s="8" t="s">
        <v>647</v>
      </c>
      <c r="F45" s="25">
        <v>140</v>
      </c>
      <c r="G45" s="8"/>
    </row>
    <row r="46" spans="1:7" ht="25.05" customHeight="1">
      <c r="A46" s="6">
        <v>43</v>
      </c>
      <c r="B46" s="7" t="s">
        <v>120</v>
      </c>
      <c r="C46" s="6" t="s">
        <v>124</v>
      </c>
      <c r="D46" s="8" t="s">
        <v>239</v>
      </c>
      <c r="E46" s="8" t="s">
        <v>648</v>
      </c>
      <c r="F46" s="25">
        <v>130</v>
      </c>
      <c r="G46" s="8"/>
    </row>
    <row r="47" spans="1:7" ht="25.05" customHeight="1">
      <c r="A47" s="6">
        <v>44</v>
      </c>
      <c r="B47" s="7" t="s">
        <v>120</v>
      </c>
      <c r="C47" s="6" t="s">
        <v>124</v>
      </c>
      <c r="D47" s="3" t="s">
        <v>219</v>
      </c>
      <c r="E47" s="9" t="s">
        <v>242</v>
      </c>
      <c r="F47" s="79">
        <f>SUM(F45:F46)</f>
        <v>270</v>
      </c>
      <c r="G47" s="9"/>
    </row>
    <row r="48" spans="1:7" ht="25.05" customHeight="1">
      <c r="A48" s="6">
        <v>45</v>
      </c>
      <c r="B48" s="7" t="s">
        <v>120</v>
      </c>
      <c r="C48" s="6" t="s">
        <v>124</v>
      </c>
      <c r="D48" s="6" t="s">
        <v>249</v>
      </c>
      <c r="E48" s="8" t="s">
        <v>281</v>
      </c>
      <c r="F48" s="25">
        <v>8</v>
      </c>
      <c r="G48" s="8"/>
    </row>
    <row r="49" spans="1:7" ht="25.05" customHeight="1">
      <c r="A49" s="6">
        <v>46</v>
      </c>
      <c r="B49" s="7" t="s">
        <v>120</v>
      </c>
      <c r="C49" s="6" t="s">
        <v>124</v>
      </c>
      <c r="D49" s="6" t="s">
        <v>249</v>
      </c>
      <c r="E49" s="8" t="s">
        <v>282</v>
      </c>
      <c r="F49" s="25">
        <v>8</v>
      </c>
      <c r="G49" s="8"/>
    </row>
    <row r="50" spans="1:7" ht="25.05" customHeight="1">
      <c r="A50" s="6">
        <v>47</v>
      </c>
      <c r="B50" s="7" t="s">
        <v>120</v>
      </c>
      <c r="C50" s="6" t="s">
        <v>124</v>
      </c>
      <c r="D50" s="6" t="s">
        <v>249</v>
      </c>
      <c r="E50" s="8" t="s">
        <v>688</v>
      </c>
      <c r="F50" s="25">
        <v>160</v>
      </c>
      <c r="G50" s="8"/>
    </row>
    <row r="51" spans="1:7" ht="25.05" customHeight="1">
      <c r="A51" s="6">
        <v>48</v>
      </c>
      <c r="B51" s="7" t="s">
        <v>120</v>
      </c>
      <c r="C51" s="6" t="s">
        <v>124</v>
      </c>
      <c r="D51" s="6" t="s">
        <v>249</v>
      </c>
      <c r="E51" s="8" t="s">
        <v>689</v>
      </c>
      <c r="F51" s="25">
        <v>36</v>
      </c>
      <c r="G51" s="8"/>
    </row>
    <row r="52" spans="1:7" ht="25.05" customHeight="1">
      <c r="A52" s="6">
        <v>49</v>
      </c>
      <c r="B52" s="7" t="s">
        <v>120</v>
      </c>
      <c r="C52" s="6" t="s">
        <v>124</v>
      </c>
      <c r="D52" s="6" t="s">
        <v>249</v>
      </c>
      <c r="E52" s="8" t="s">
        <v>690</v>
      </c>
      <c r="F52" s="25">
        <v>80</v>
      </c>
      <c r="G52" s="8"/>
    </row>
    <row r="53" spans="1:7" ht="25.05" customHeight="1">
      <c r="A53" s="6">
        <v>50</v>
      </c>
      <c r="B53" s="7" t="s">
        <v>120</v>
      </c>
      <c r="C53" s="6" t="s">
        <v>124</v>
      </c>
      <c r="D53" s="3" t="s">
        <v>219</v>
      </c>
      <c r="E53" s="9" t="s">
        <v>255</v>
      </c>
      <c r="F53" s="79">
        <f>SUM(F48:F52)</f>
        <v>292</v>
      </c>
      <c r="G53" s="9"/>
    </row>
    <row r="54" spans="1:7" ht="25.05" customHeight="1">
      <c r="A54" s="6">
        <v>51</v>
      </c>
      <c r="B54" s="7" t="s">
        <v>120</v>
      </c>
      <c r="C54" s="6" t="s">
        <v>124</v>
      </c>
      <c r="D54" s="6" t="s">
        <v>262</v>
      </c>
      <c r="E54" s="8" t="s">
        <v>263</v>
      </c>
      <c r="F54" s="25">
        <v>300</v>
      </c>
      <c r="G54" s="8"/>
    </row>
    <row r="55" spans="1:7" ht="25.05" customHeight="1">
      <c r="A55" s="6">
        <v>52</v>
      </c>
      <c r="B55" s="7" t="s">
        <v>120</v>
      </c>
      <c r="C55" s="6" t="s">
        <v>124</v>
      </c>
      <c r="D55" s="6" t="s">
        <v>262</v>
      </c>
      <c r="E55" s="8" t="s">
        <v>265</v>
      </c>
      <c r="F55" s="25">
        <v>50</v>
      </c>
      <c r="G55" s="8"/>
    </row>
    <row r="56" spans="1:7" ht="25.05" customHeight="1">
      <c r="A56" s="6">
        <v>53</v>
      </c>
      <c r="B56" s="7" t="s">
        <v>120</v>
      </c>
      <c r="C56" s="6" t="s">
        <v>124</v>
      </c>
      <c r="D56" s="6" t="s">
        <v>262</v>
      </c>
      <c r="E56" s="8" t="s">
        <v>264</v>
      </c>
      <c r="F56" s="25">
        <v>40</v>
      </c>
      <c r="G56" s="8"/>
    </row>
    <row r="57" spans="1:7" ht="25.05" customHeight="1">
      <c r="A57" s="6">
        <v>54</v>
      </c>
      <c r="B57" s="7" t="s">
        <v>120</v>
      </c>
      <c r="C57" s="6" t="s">
        <v>124</v>
      </c>
      <c r="D57" s="6" t="s">
        <v>262</v>
      </c>
      <c r="E57" s="8" t="s">
        <v>591</v>
      </c>
      <c r="F57" s="25">
        <v>40</v>
      </c>
      <c r="G57" s="8"/>
    </row>
    <row r="58" spans="1:7" ht="25.05" customHeight="1">
      <c r="A58" s="6">
        <v>55</v>
      </c>
      <c r="B58" s="7" t="s">
        <v>120</v>
      </c>
      <c r="C58" s="6" t="s">
        <v>124</v>
      </c>
      <c r="D58" s="3" t="s">
        <v>219</v>
      </c>
      <c r="E58" s="9" t="s">
        <v>266</v>
      </c>
      <c r="F58" s="79">
        <f>SUM(F54:F57)</f>
        <v>430</v>
      </c>
      <c r="G58" s="9"/>
    </row>
    <row r="59" spans="1:7" ht="24" customHeight="1">
      <c r="A59" s="6">
        <v>56</v>
      </c>
      <c r="B59" s="7" t="s">
        <v>120</v>
      </c>
      <c r="C59" s="6" t="s">
        <v>124</v>
      </c>
      <c r="D59" s="3" t="s">
        <v>267</v>
      </c>
      <c r="E59" s="10" t="s">
        <v>691</v>
      </c>
      <c r="F59" s="10">
        <v>2388</v>
      </c>
      <c r="G59" s="107"/>
    </row>
    <row r="60" spans="1:7" ht="25.5" customHeight="1">
      <c r="A60" s="219" t="s">
        <v>357</v>
      </c>
      <c r="B60" s="219"/>
      <c r="C60" s="219"/>
      <c r="D60" s="219"/>
      <c r="E60" s="219"/>
      <c r="F60" s="219"/>
      <c r="G60" s="219"/>
    </row>
  </sheetData>
  <autoFilter ref="A3:G60" xr:uid="{00000000-0009-0000-0000-000026000000}"/>
  <mergeCells count="3">
    <mergeCell ref="A1:G1"/>
    <mergeCell ref="A2:G2"/>
    <mergeCell ref="A60:G60"/>
  </mergeCells>
  <phoneticPr fontId="23" type="noConversion"/>
  <pageMargins left="0.59055118110236204" right="0.15748031496063" top="0.31496062992126" bottom="0.47244094488188998" header="0.31496062992126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G76"/>
  <sheetViews>
    <sheetView view="pageBreakPreview" zoomScale="115" zoomScaleNormal="100" workbookViewId="0">
      <selection activeCell="H80" sqref="H80"/>
    </sheetView>
  </sheetViews>
  <sheetFormatPr defaultColWidth="9" defaultRowHeight="15.75"/>
  <cols>
    <col min="1" max="1" width="4.06640625" style="73" customWidth="1"/>
    <col min="2" max="2" width="7.59765625" style="74" customWidth="1"/>
    <col min="3" max="3" width="15.53125" style="73" customWidth="1"/>
    <col min="4" max="4" width="10.265625" style="73" customWidth="1"/>
    <col min="5" max="5" width="43.796875" style="1" customWidth="1"/>
    <col min="6" max="6" width="7.19921875" style="1" customWidth="1"/>
    <col min="7" max="7" width="7.73046875" style="1" customWidth="1"/>
  </cols>
  <sheetData>
    <row r="1" spans="1:7" ht="25.05" customHeight="1">
      <c r="A1" s="215" t="s">
        <v>692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693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127</v>
      </c>
      <c r="C4" s="6" t="s">
        <v>694</v>
      </c>
      <c r="D4" s="6" t="s">
        <v>209</v>
      </c>
      <c r="E4" s="8" t="s">
        <v>210</v>
      </c>
      <c r="F4" s="8">
        <v>24</v>
      </c>
      <c r="G4" s="8"/>
    </row>
    <row r="5" spans="1:7" ht="25.05" customHeight="1">
      <c r="A5" s="6">
        <v>2</v>
      </c>
      <c r="B5" s="7" t="s">
        <v>127</v>
      </c>
      <c r="C5" s="6" t="s">
        <v>694</v>
      </c>
      <c r="D5" s="6" t="s">
        <v>209</v>
      </c>
      <c r="E5" s="8" t="s">
        <v>211</v>
      </c>
      <c r="F5" s="8">
        <v>20</v>
      </c>
      <c r="G5" s="8"/>
    </row>
    <row r="6" spans="1:7" ht="25.05" customHeight="1">
      <c r="A6" s="6">
        <v>3</v>
      </c>
      <c r="B6" s="7" t="s">
        <v>127</v>
      </c>
      <c r="C6" s="6" t="s">
        <v>694</v>
      </c>
      <c r="D6" s="6" t="s">
        <v>209</v>
      </c>
      <c r="E6" s="8" t="s">
        <v>212</v>
      </c>
      <c r="F6" s="8">
        <v>39</v>
      </c>
      <c r="G6" s="8"/>
    </row>
    <row r="7" spans="1:7" ht="25.05" customHeight="1">
      <c r="A7" s="6">
        <v>4</v>
      </c>
      <c r="B7" s="7" t="s">
        <v>127</v>
      </c>
      <c r="C7" s="6" t="s">
        <v>694</v>
      </c>
      <c r="D7" s="6" t="s">
        <v>209</v>
      </c>
      <c r="E7" s="8" t="s">
        <v>272</v>
      </c>
      <c r="F7" s="8">
        <v>39</v>
      </c>
      <c r="G7" s="8"/>
    </row>
    <row r="8" spans="1:7" ht="25.05" customHeight="1">
      <c r="A8" s="6">
        <v>5</v>
      </c>
      <c r="B8" s="7" t="s">
        <v>127</v>
      </c>
      <c r="C8" s="6" t="s">
        <v>694</v>
      </c>
      <c r="D8" s="6" t="s">
        <v>209</v>
      </c>
      <c r="E8" s="8" t="s">
        <v>214</v>
      </c>
      <c r="F8" s="8">
        <v>31</v>
      </c>
      <c r="G8" s="8"/>
    </row>
    <row r="9" spans="1:7" ht="25.05" customHeight="1">
      <c r="A9" s="6">
        <v>6</v>
      </c>
      <c r="B9" s="7" t="s">
        <v>127</v>
      </c>
      <c r="C9" s="6" t="s">
        <v>694</v>
      </c>
      <c r="D9" s="6" t="s">
        <v>209</v>
      </c>
      <c r="E9" s="8" t="s">
        <v>312</v>
      </c>
      <c r="F9" s="8">
        <v>12</v>
      </c>
      <c r="G9" s="8"/>
    </row>
    <row r="10" spans="1:7" ht="25.05" customHeight="1">
      <c r="A10" s="6">
        <v>7</v>
      </c>
      <c r="B10" s="7" t="s">
        <v>127</v>
      </c>
      <c r="C10" s="6" t="s">
        <v>694</v>
      </c>
      <c r="D10" s="6" t="s">
        <v>209</v>
      </c>
      <c r="E10" s="8" t="s">
        <v>216</v>
      </c>
      <c r="F10" s="8">
        <v>60</v>
      </c>
      <c r="G10" s="8"/>
    </row>
    <row r="11" spans="1:7" ht="25.05" customHeight="1">
      <c r="A11" s="6">
        <v>8</v>
      </c>
      <c r="B11" s="7" t="s">
        <v>127</v>
      </c>
      <c r="C11" s="6" t="s">
        <v>694</v>
      </c>
      <c r="D11" s="6" t="s">
        <v>209</v>
      </c>
      <c r="E11" s="8" t="s">
        <v>292</v>
      </c>
      <c r="F11" s="8">
        <v>36</v>
      </c>
      <c r="G11" s="8"/>
    </row>
    <row r="12" spans="1:7" ht="25.05" customHeight="1">
      <c r="A12" s="6">
        <v>9</v>
      </c>
      <c r="B12" s="7" t="s">
        <v>127</v>
      </c>
      <c r="C12" s="6" t="s">
        <v>694</v>
      </c>
      <c r="D12" s="6" t="s">
        <v>209</v>
      </c>
      <c r="E12" s="8" t="s">
        <v>217</v>
      </c>
      <c r="F12" s="8">
        <v>75</v>
      </c>
      <c r="G12" s="8"/>
    </row>
    <row r="13" spans="1:7" ht="25.05" customHeight="1">
      <c r="A13" s="6">
        <v>10</v>
      </c>
      <c r="B13" s="7" t="s">
        <v>127</v>
      </c>
      <c r="C13" s="6" t="s">
        <v>694</v>
      </c>
      <c r="D13" s="6" t="s">
        <v>209</v>
      </c>
      <c r="E13" s="8" t="s">
        <v>218</v>
      </c>
      <c r="F13" s="8">
        <v>10</v>
      </c>
      <c r="G13" s="8"/>
    </row>
    <row r="14" spans="1:7" ht="25.05" customHeight="1">
      <c r="A14" s="6">
        <v>11</v>
      </c>
      <c r="B14" s="7" t="s">
        <v>127</v>
      </c>
      <c r="C14" s="6" t="s">
        <v>694</v>
      </c>
      <c r="D14" s="3" t="s">
        <v>219</v>
      </c>
      <c r="E14" s="9" t="s">
        <v>220</v>
      </c>
      <c r="F14" s="9">
        <f>SUM(F4:F13)</f>
        <v>346</v>
      </c>
      <c r="G14" s="9"/>
    </row>
    <row r="15" spans="1:7" ht="25.05" customHeight="1">
      <c r="A15" s="6">
        <v>12</v>
      </c>
      <c r="B15" s="7" t="s">
        <v>127</v>
      </c>
      <c r="C15" s="6" t="s">
        <v>694</v>
      </c>
      <c r="D15" s="6" t="s">
        <v>401</v>
      </c>
      <c r="E15" s="8" t="s">
        <v>402</v>
      </c>
      <c r="F15" s="8">
        <v>44</v>
      </c>
      <c r="G15" s="8"/>
    </row>
    <row r="16" spans="1:7" ht="25.05" customHeight="1">
      <c r="A16" s="6">
        <v>13</v>
      </c>
      <c r="B16" s="7" t="s">
        <v>127</v>
      </c>
      <c r="C16" s="6" t="s">
        <v>694</v>
      </c>
      <c r="D16" s="6" t="s">
        <v>401</v>
      </c>
      <c r="E16" s="8" t="s">
        <v>403</v>
      </c>
      <c r="F16" s="8">
        <v>44</v>
      </c>
      <c r="G16" s="8"/>
    </row>
    <row r="17" spans="1:7" ht="25.05" customHeight="1">
      <c r="A17" s="6">
        <v>14</v>
      </c>
      <c r="B17" s="7" t="s">
        <v>127</v>
      </c>
      <c r="C17" s="6" t="s">
        <v>694</v>
      </c>
      <c r="D17" s="6" t="s">
        <v>401</v>
      </c>
      <c r="E17" s="8" t="s">
        <v>404</v>
      </c>
      <c r="F17" s="8">
        <v>160</v>
      </c>
      <c r="G17" s="8"/>
    </row>
    <row r="18" spans="1:7" ht="25.05" customHeight="1">
      <c r="A18" s="6">
        <v>15</v>
      </c>
      <c r="B18" s="7" t="s">
        <v>127</v>
      </c>
      <c r="C18" s="6" t="s">
        <v>694</v>
      </c>
      <c r="D18" s="6" t="s">
        <v>401</v>
      </c>
      <c r="E18" s="8" t="s">
        <v>405</v>
      </c>
      <c r="F18" s="8">
        <v>80</v>
      </c>
      <c r="G18" s="8"/>
    </row>
    <row r="19" spans="1:7" ht="25.05" customHeight="1">
      <c r="A19" s="6">
        <v>16</v>
      </c>
      <c r="B19" s="7" t="s">
        <v>127</v>
      </c>
      <c r="C19" s="6" t="s">
        <v>694</v>
      </c>
      <c r="D19" s="6" t="s">
        <v>401</v>
      </c>
      <c r="E19" s="8" t="s">
        <v>406</v>
      </c>
      <c r="F19" s="8">
        <v>30</v>
      </c>
      <c r="G19" s="8"/>
    </row>
    <row r="20" spans="1:7" ht="25.05" customHeight="1">
      <c r="A20" s="6">
        <v>17</v>
      </c>
      <c r="B20" s="7" t="s">
        <v>127</v>
      </c>
      <c r="C20" s="6" t="s">
        <v>694</v>
      </c>
      <c r="D20" s="6" t="s">
        <v>401</v>
      </c>
      <c r="E20" s="8" t="s">
        <v>459</v>
      </c>
      <c r="F20" s="8">
        <v>300</v>
      </c>
      <c r="G20" s="8"/>
    </row>
    <row r="21" spans="1:7" ht="25.05" customHeight="1">
      <c r="A21" s="6">
        <v>18</v>
      </c>
      <c r="B21" s="7" t="s">
        <v>127</v>
      </c>
      <c r="C21" s="6" t="s">
        <v>694</v>
      </c>
      <c r="D21" s="6" t="s">
        <v>401</v>
      </c>
      <c r="E21" s="8" t="s">
        <v>460</v>
      </c>
      <c r="F21" s="8">
        <v>16</v>
      </c>
      <c r="G21" s="8"/>
    </row>
    <row r="22" spans="1:7" ht="25.05" customHeight="1">
      <c r="A22" s="6">
        <v>19</v>
      </c>
      <c r="B22" s="7" t="s">
        <v>127</v>
      </c>
      <c r="C22" s="6" t="s">
        <v>694</v>
      </c>
      <c r="D22" s="3" t="s">
        <v>219</v>
      </c>
      <c r="E22" s="9" t="s">
        <v>409</v>
      </c>
      <c r="F22" s="9">
        <f>SUM(F15:F21)</f>
        <v>674</v>
      </c>
      <c r="G22" s="9"/>
    </row>
    <row r="23" spans="1:7" ht="25.05" customHeight="1">
      <c r="A23" s="6">
        <v>20</v>
      </c>
      <c r="B23" s="7" t="s">
        <v>127</v>
      </c>
      <c r="C23" s="6" t="s">
        <v>694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127</v>
      </c>
      <c r="C24" s="6" t="s">
        <v>694</v>
      </c>
      <c r="D24" s="6" t="s">
        <v>221</v>
      </c>
      <c r="E24" s="8" t="s">
        <v>695</v>
      </c>
      <c r="F24" s="8">
        <v>25</v>
      </c>
      <c r="G24" s="8"/>
    </row>
    <row r="25" spans="1:7" ht="25.05" customHeight="1">
      <c r="A25" s="6">
        <v>22</v>
      </c>
      <c r="B25" s="7" t="s">
        <v>127</v>
      </c>
      <c r="C25" s="6" t="s">
        <v>694</v>
      </c>
      <c r="D25" s="6" t="s">
        <v>221</v>
      </c>
      <c r="E25" s="8" t="s">
        <v>273</v>
      </c>
      <c r="F25" s="8">
        <v>30</v>
      </c>
      <c r="G25" s="8"/>
    </row>
    <row r="26" spans="1:7" ht="25.05" customHeight="1">
      <c r="A26" s="6">
        <v>23</v>
      </c>
      <c r="B26" s="7" t="s">
        <v>127</v>
      </c>
      <c r="C26" s="6" t="s">
        <v>694</v>
      </c>
      <c r="D26" s="6" t="s">
        <v>221</v>
      </c>
      <c r="E26" s="8" t="s">
        <v>462</v>
      </c>
      <c r="F26" s="8">
        <v>15</v>
      </c>
      <c r="G26" s="8"/>
    </row>
    <row r="27" spans="1:7" ht="25.05" customHeight="1">
      <c r="A27" s="6">
        <v>24</v>
      </c>
      <c r="B27" s="7" t="s">
        <v>127</v>
      </c>
      <c r="C27" s="6" t="s">
        <v>694</v>
      </c>
      <c r="D27" s="6" t="s">
        <v>221</v>
      </c>
      <c r="E27" s="8" t="s">
        <v>224</v>
      </c>
      <c r="F27" s="8">
        <v>20</v>
      </c>
      <c r="G27" s="8"/>
    </row>
    <row r="28" spans="1:7" ht="25.05" customHeight="1">
      <c r="A28" s="6">
        <v>25</v>
      </c>
      <c r="B28" s="7" t="s">
        <v>127</v>
      </c>
      <c r="C28" s="6" t="s">
        <v>694</v>
      </c>
      <c r="D28" s="6" t="s">
        <v>221</v>
      </c>
      <c r="E28" s="8" t="s">
        <v>225</v>
      </c>
      <c r="F28" s="8">
        <v>30</v>
      </c>
      <c r="G28" s="8"/>
    </row>
    <row r="29" spans="1:7" ht="25.05" customHeight="1">
      <c r="A29" s="6">
        <v>26</v>
      </c>
      <c r="B29" s="7" t="s">
        <v>127</v>
      </c>
      <c r="C29" s="6" t="s">
        <v>694</v>
      </c>
      <c r="D29" s="6" t="s">
        <v>221</v>
      </c>
      <c r="E29" s="8" t="s">
        <v>226</v>
      </c>
      <c r="F29" s="8">
        <v>30</v>
      </c>
      <c r="G29" s="8"/>
    </row>
    <row r="30" spans="1:7" ht="25.05" customHeight="1">
      <c r="A30" s="6">
        <v>27</v>
      </c>
      <c r="B30" s="7" t="s">
        <v>127</v>
      </c>
      <c r="C30" s="6" t="s">
        <v>694</v>
      </c>
      <c r="D30" s="6" t="s">
        <v>221</v>
      </c>
      <c r="E30" s="8" t="s">
        <v>391</v>
      </c>
      <c r="F30" s="8">
        <v>20</v>
      </c>
      <c r="G30" s="8"/>
    </row>
    <row r="31" spans="1:7" ht="25.05" customHeight="1">
      <c r="A31" s="6">
        <v>28</v>
      </c>
      <c r="B31" s="7" t="s">
        <v>127</v>
      </c>
      <c r="C31" s="6" t="s">
        <v>694</v>
      </c>
      <c r="D31" s="3" t="s">
        <v>219</v>
      </c>
      <c r="E31" s="9" t="s">
        <v>228</v>
      </c>
      <c r="F31" s="10">
        <f>SUM(F23:F30)</f>
        <v>184</v>
      </c>
      <c r="G31" s="9"/>
    </row>
    <row r="32" spans="1:7" ht="25.05" customHeight="1">
      <c r="A32" s="6">
        <v>29</v>
      </c>
      <c r="B32" s="7" t="s">
        <v>127</v>
      </c>
      <c r="C32" s="6" t="s">
        <v>694</v>
      </c>
      <c r="D32" s="6" t="s">
        <v>229</v>
      </c>
      <c r="E32" s="8" t="s">
        <v>230</v>
      </c>
      <c r="F32" s="8">
        <v>14</v>
      </c>
      <c r="G32" s="8"/>
    </row>
    <row r="33" spans="1:7" ht="25.05" customHeight="1">
      <c r="A33" s="6">
        <v>30</v>
      </c>
      <c r="B33" s="7" t="s">
        <v>127</v>
      </c>
      <c r="C33" s="6" t="s">
        <v>694</v>
      </c>
      <c r="D33" s="6" t="s">
        <v>229</v>
      </c>
      <c r="E33" s="8" t="s">
        <v>696</v>
      </c>
      <c r="F33" s="8">
        <v>30</v>
      </c>
      <c r="G33" s="8"/>
    </row>
    <row r="34" spans="1:7" ht="25.05" customHeight="1">
      <c r="A34" s="6">
        <v>31</v>
      </c>
      <c r="B34" s="7" t="s">
        <v>127</v>
      </c>
      <c r="C34" s="6" t="s">
        <v>694</v>
      </c>
      <c r="D34" s="6" t="s">
        <v>229</v>
      </c>
      <c r="E34" s="8" t="s">
        <v>231</v>
      </c>
      <c r="F34" s="8">
        <v>65</v>
      </c>
      <c r="G34" s="8"/>
    </row>
    <row r="35" spans="1:7" ht="25.05" customHeight="1">
      <c r="A35" s="6">
        <v>32</v>
      </c>
      <c r="B35" s="7" t="s">
        <v>127</v>
      </c>
      <c r="C35" s="6" t="s">
        <v>694</v>
      </c>
      <c r="D35" s="6" t="s">
        <v>229</v>
      </c>
      <c r="E35" s="8" t="s">
        <v>385</v>
      </c>
      <c r="F35" s="8">
        <v>20</v>
      </c>
      <c r="G35" s="8"/>
    </row>
    <row r="36" spans="1:7" ht="25.05" customHeight="1">
      <c r="A36" s="6">
        <v>33</v>
      </c>
      <c r="B36" s="7" t="s">
        <v>127</v>
      </c>
      <c r="C36" s="6" t="s">
        <v>694</v>
      </c>
      <c r="D36" s="6" t="s">
        <v>229</v>
      </c>
      <c r="E36" s="8" t="s">
        <v>412</v>
      </c>
      <c r="F36" s="8">
        <v>50</v>
      </c>
      <c r="G36" s="8"/>
    </row>
    <row r="37" spans="1:7" ht="25.05" customHeight="1">
      <c r="A37" s="6">
        <v>34</v>
      </c>
      <c r="B37" s="7" t="s">
        <v>127</v>
      </c>
      <c r="C37" s="6" t="s">
        <v>694</v>
      </c>
      <c r="D37" s="6" t="s">
        <v>229</v>
      </c>
      <c r="E37" s="8" t="s">
        <v>697</v>
      </c>
      <c r="F37" s="8">
        <v>30</v>
      </c>
      <c r="G37" s="8"/>
    </row>
    <row r="38" spans="1:7" ht="25.05" customHeight="1">
      <c r="A38" s="6">
        <v>35</v>
      </c>
      <c r="B38" s="7" t="s">
        <v>127</v>
      </c>
      <c r="C38" s="6" t="s">
        <v>694</v>
      </c>
      <c r="D38" s="6" t="s">
        <v>229</v>
      </c>
      <c r="E38" s="8" t="s">
        <v>698</v>
      </c>
      <c r="F38" s="8">
        <v>30</v>
      </c>
      <c r="G38" s="8"/>
    </row>
    <row r="39" spans="1:7" ht="25.05" customHeight="1">
      <c r="A39" s="6">
        <v>36</v>
      </c>
      <c r="B39" s="7" t="s">
        <v>127</v>
      </c>
      <c r="C39" s="6" t="s">
        <v>694</v>
      </c>
      <c r="D39" s="6" t="s">
        <v>229</v>
      </c>
      <c r="E39" s="8" t="s">
        <v>699</v>
      </c>
      <c r="F39" s="8">
        <v>20</v>
      </c>
      <c r="G39" s="8"/>
    </row>
    <row r="40" spans="1:7" ht="25.05" customHeight="1">
      <c r="A40" s="6">
        <v>37</v>
      </c>
      <c r="B40" s="7" t="s">
        <v>127</v>
      </c>
      <c r="C40" s="6" t="s">
        <v>694</v>
      </c>
      <c r="D40" s="6" t="s">
        <v>229</v>
      </c>
      <c r="E40" s="8" t="s">
        <v>700</v>
      </c>
      <c r="F40" s="8">
        <v>30</v>
      </c>
      <c r="G40" s="8"/>
    </row>
    <row r="41" spans="1:7" ht="25.05" customHeight="1">
      <c r="A41" s="6">
        <v>38</v>
      </c>
      <c r="B41" s="7" t="s">
        <v>127</v>
      </c>
      <c r="C41" s="6" t="s">
        <v>694</v>
      </c>
      <c r="D41" s="6" t="s">
        <v>229</v>
      </c>
      <c r="E41" s="8" t="s">
        <v>430</v>
      </c>
      <c r="F41" s="8">
        <v>30</v>
      </c>
      <c r="G41" s="8"/>
    </row>
    <row r="42" spans="1:7" ht="25.05" customHeight="1">
      <c r="A42" s="6">
        <v>39</v>
      </c>
      <c r="B42" s="7" t="s">
        <v>127</v>
      </c>
      <c r="C42" s="6" t="s">
        <v>694</v>
      </c>
      <c r="D42" s="6" t="s">
        <v>229</v>
      </c>
      <c r="E42" s="8" t="s">
        <v>416</v>
      </c>
      <c r="F42" s="8">
        <v>8</v>
      </c>
      <c r="G42" s="8"/>
    </row>
    <row r="43" spans="1:7" ht="25.05" customHeight="1">
      <c r="A43" s="6">
        <v>40</v>
      </c>
      <c r="B43" s="7" t="s">
        <v>127</v>
      </c>
      <c r="C43" s="6" t="s">
        <v>694</v>
      </c>
      <c r="D43" s="6" t="s">
        <v>229</v>
      </c>
      <c r="E43" s="8" t="s">
        <v>415</v>
      </c>
      <c r="F43" s="8">
        <v>140</v>
      </c>
      <c r="G43" s="8"/>
    </row>
    <row r="44" spans="1:7" ht="25.05" customHeight="1">
      <c r="A44" s="6">
        <v>41</v>
      </c>
      <c r="B44" s="7" t="s">
        <v>127</v>
      </c>
      <c r="C44" s="6" t="s">
        <v>694</v>
      </c>
      <c r="D44" s="3" t="s">
        <v>219</v>
      </c>
      <c r="E44" s="9" t="s">
        <v>238</v>
      </c>
      <c r="F44" s="10">
        <f>SUM(F32:F43)</f>
        <v>467</v>
      </c>
      <c r="G44" s="9"/>
    </row>
    <row r="45" spans="1:7" ht="25.05" customHeight="1">
      <c r="A45" s="6">
        <v>42</v>
      </c>
      <c r="B45" s="7" t="s">
        <v>127</v>
      </c>
      <c r="C45" s="6" t="s">
        <v>694</v>
      </c>
      <c r="D45" s="6" t="s">
        <v>239</v>
      </c>
      <c r="E45" s="8" t="s">
        <v>240</v>
      </c>
      <c r="F45" s="25">
        <v>90</v>
      </c>
      <c r="G45" s="8"/>
    </row>
    <row r="46" spans="1:7" ht="25.05" customHeight="1">
      <c r="A46" s="6">
        <v>43</v>
      </c>
      <c r="B46" s="7" t="s">
        <v>127</v>
      </c>
      <c r="C46" s="6" t="s">
        <v>694</v>
      </c>
      <c r="D46" s="6" t="s">
        <v>239</v>
      </c>
      <c r="E46" s="8" t="s">
        <v>241</v>
      </c>
      <c r="F46" s="25">
        <v>90</v>
      </c>
      <c r="G46" s="8"/>
    </row>
    <row r="47" spans="1:7" ht="25.05" customHeight="1">
      <c r="A47" s="6">
        <v>44</v>
      </c>
      <c r="B47" s="7" t="s">
        <v>127</v>
      </c>
      <c r="C47" s="6" t="s">
        <v>694</v>
      </c>
      <c r="D47" s="3" t="s">
        <v>219</v>
      </c>
      <c r="E47" s="9" t="s">
        <v>242</v>
      </c>
      <c r="F47" s="79">
        <f>SUM(F45:F46)</f>
        <v>180</v>
      </c>
      <c r="G47" s="9"/>
    </row>
    <row r="48" spans="1:7" ht="25.05" customHeight="1">
      <c r="A48" s="6">
        <v>45</v>
      </c>
      <c r="B48" s="7" t="s">
        <v>127</v>
      </c>
      <c r="C48" s="6" t="s">
        <v>694</v>
      </c>
      <c r="D48" s="6" t="s">
        <v>249</v>
      </c>
      <c r="E48" s="8" t="s">
        <v>425</v>
      </c>
      <c r="F48" s="25">
        <v>300</v>
      </c>
      <c r="G48" s="8"/>
    </row>
    <row r="49" spans="1:7" ht="25.05" customHeight="1">
      <c r="A49" s="6">
        <v>46</v>
      </c>
      <c r="B49" s="7" t="s">
        <v>127</v>
      </c>
      <c r="C49" s="6" t="s">
        <v>694</v>
      </c>
      <c r="D49" s="6" t="s">
        <v>249</v>
      </c>
      <c r="E49" s="8" t="s">
        <v>264</v>
      </c>
      <c r="F49" s="25">
        <v>60</v>
      </c>
      <c r="G49" s="8"/>
    </row>
    <row r="50" spans="1:7" ht="25.05" customHeight="1">
      <c r="A50" s="6">
        <v>47</v>
      </c>
      <c r="B50" s="7" t="s">
        <v>127</v>
      </c>
      <c r="C50" s="6" t="s">
        <v>694</v>
      </c>
      <c r="D50" s="6" t="s">
        <v>249</v>
      </c>
      <c r="E50" s="8" t="s">
        <v>265</v>
      </c>
      <c r="F50" s="25">
        <v>60</v>
      </c>
      <c r="G50" s="8"/>
    </row>
    <row r="51" spans="1:7" ht="25.05" customHeight="1">
      <c r="A51" s="6">
        <v>48</v>
      </c>
      <c r="B51" s="7" t="s">
        <v>127</v>
      </c>
      <c r="C51" s="6" t="s">
        <v>694</v>
      </c>
      <c r="D51" s="3" t="s">
        <v>219</v>
      </c>
      <c r="E51" s="9" t="s">
        <v>266</v>
      </c>
      <c r="F51" s="79">
        <f>SUM(F48:F50)</f>
        <v>420</v>
      </c>
      <c r="G51" s="9"/>
    </row>
    <row r="52" spans="1:7" ht="25.05" customHeight="1">
      <c r="A52" s="6">
        <v>49</v>
      </c>
      <c r="B52" s="7" t="s">
        <v>127</v>
      </c>
      <c r="C52" s="6" t="s">
        <v>694</v>
      </c>
      <c r="D52" s="6" t="s">
        <v>259</v>
      </c>
      <c r="E52" s="8" t="s">
        <v>701</v>
      </c>
      <c r="F52" s="25">
        <v>1020</v>
      </c>
      <c r="G52" s="8"/>
    </row>
    <row r="53" spans="1:7" ht="25.05" customHeight="1">
      <c r="A53" s="6">
        <v>50</v>
      </c>
      <c r="B53" s="7" t="s">
        <v>127</v>
      </c>
      <c r="C53" s="6" t="s">
        <v>694</v>
      </c>
      <c r="D53" s="6" t="s">
        <v>259</v>
      </c>
      <c r="E53" s="8" t="s">
        <v>702</v>
      </c>
      <c r="F53" s="25">
        <v>119</v>
      </c>
      <c r="G53" s="8"/>
    </row>
    <row r="54" spans="1:7" ht="25.05" customHeight="1">
      <c r="A54" s="6">
        <v>51</v>
      </c>
      <c r="B54" s="7" t="s">
        <v>127</v>
      </c>
      <c r="C54" s="6" t="s">
        <v>694</v>
      </c>
      <c r="D54" s="6" t="s">
        <v>259</v>
      </c>
      <c r="E54" s="11" t="s">
        <v>703</v>
      </c>
      <c r="F54" s="25">
        <v>150</v>
      </c>
      <c r="G54" s="8"/>
    </row>
    <row r="55" spans="1:7" ht="25.05" customHeight="1">
      <c r="A55" s="6">
        <v>52</v>
      </c>
      <c r="B55" s="7" t="s">
        <v>127</v>
      </c>
      <c r="C55" s="6" t="s">
        <v>694</v>
      </c>
      <c r="D55" s="3" t="s">
        <v>219</v>
      </c>
      <c r="E55" s="75" t="s">
        <v>261</v>
      </c>
      <c r="F55" s="79">
        <f>SUM(F52:F54)</f>
        <v>1289</v>
      </c>
      <c r="G55" s="9"/>
    </row>
    <row r="56" spans="1:7" ht="25.05" customHeight="1">
      <c r="A56" s="6">
        <v>53</v>
      </c>
      <c r="B56" s="7" t="s">
        <v>127</v>
      </c>
      <c r="C56" s="6" t="s">
        <v>694</v>
      </c>
      <c r="D56" s="6" t="s">
        <v>243</v>
      </c>
      <c r="E56" s="8" t="s">
        <v>704</v>
      </c>
      <c r="F56" s="25">
        <v>15.6</v>
      </c>
      <c r="G56" s="8"/>
    </row>
    <row r="57" spans="1:7" ht="25.05" customHeight="1">
      <c r="A57" s="6">
        <v>54</v>
      </c>
      <c r="B57" s="7" t="s">
        <v>127</v>
      </c>
      <c r="C57" s="6" t="s">
        <v>694</v>
      </c>
      <c r="D57" s="6" t="s">
        <v>243</v>
      </c>
      <c r="E57" s="8" t="s">
        <v>705</v>
      </c>
      <c r="F57" s="25">
        <v>15.6</v>
      </c>
      <c r="G57" s="8"/>
    </row>
    <row r="58" spans="1:7" ht="25.05" customHeight="1">
      <c r="A58" s="6">
        <v>55</v>
      </c>
      <c r="B58" s="7" t="s">
        <v>127</v>
      </c>
      <c r="C58" s="6" t="s">
        <v>694</v>
      </c>
      <c r="D58" s="6" t="s">
        <v>243</v>
      </c>
      <c r="E58" s="8" t="s">
        <v>706</v>
      </c>
      <c r="F58" s="25">
        <v>25.1</v>
      </c>
      <c r="G58" s="8"/>
    </row>
    <row r="59" spans="1:7" ht="25.05" customHeight="1">
      <c r="A59" s="6">
        <v>56</v>
      </c>
      <c r="B59" s="7" t="s">
        <v>127</v>
      </c>
      <c r="C59" s="6" t="s">
        <v>694</v>
      </c>
      <c r="D59" s="6" t="s">
        <v>243</v>
      </c>
      <c r="E59" s="8" t="s">
        <v>247</v>
      </c>
      <c r="F59" s="25">
        <v>2</v>
      </c>
      <c r="G59" s="8"/>
    </row>
    <row r="60" spans="1:7" ht="25.05" customHeight="1">
      <c r="A60" s="6">
        <v>57</v>
      </c>
      <c r="B60" s="7" t="s">
        <v>127</v>
      </c>
      <c r="C60" s="6" t="s">
        <v>694</v>
      </c>
      <c r="D60" s="3" t="s">
        <v>219</v>
      </c>
      <c r="E60" s="9" t="s">
        <v>248</v>
      </c>
      <c r="F60" s="79">
        <f>SUM(F56:F59)</f>
        <v>58.3</v>
      </c>
      <c r="G60" s="9"/>
    </row>
    <row r="61" spans="1:7" ht="25.05" customHeight="1">
      <c r="A61" s="6">
        <v>58</v>
      </c>
      <c r="B61" s="7" t="s">
        <v>127</v>
      </c>
      <c r="C61" s="6" t="s">
        <v>694</v>
      </c>
      <c r="D61" s="6" t="s">
        <v>249</v>
      </c>
      <c r="E61" s="8" t="s">
        <v>707</v>
      </c>
      <c r="F61" s="25">
        <v>22.5</v>
      </c>
      <c r="G61" s="8"/>
    </row>
    <row r="62" spans="1:7" ht="25.05" customHeight="1">
      <c r="A62" s="6">
        <v>59</v>
      </c>
      <c r="B62" s="7" t="s">
        <v>127</v>
      </c>
      <c r="C62" s="6" t="s">
        <v>694</v>
      </c>
      <c r="D62" s="6" t="s">
        <v>249</v>
      </c>
      <c r="E62" s="8" t="s">
        <v>708</v>
      </c>
      <c r="F62" s="25">
        <v>45</v>
      </c>
      <c r="G62" s="8"/>
    </row>
    <row r="63" spans="1:7" ht="25.05" customHeight="1">
      <c r="A63" s="6">
        <v>60</v>
      </c>
      <c r="B63" s="7" t="s">
        <v>127</v>
      </c>
      <c r="C63" s="6" t="s">
        <v>694</v>
      </c>
      <c r="D63" s="6" t="s">
        <v>249</v>
      </c>
      <c r="E63" s="8" t="s">
        <v>709</v>
      </c>
      <c r="F63" s="25">
        <v>90</v>
      </c>
      <c r="G63" s="8"/>
    </row>
    <row r="64" spans="1:7" ht="25.05" customHeight="1">
      <c r="A64" s="6">
        <v>61</v>
      </c>
      <c r="B64" s="7" t="s">
        <v>127</v>
      </c>
      <c r="C64" s="6" t="s">
        <v>694</v>
      </c>
      <c r="D64" s="6" t="s">
        <v>249</v>
      </c>
      <c r="E64" s="8" t="s">
        <v>710</v>
      </c>
      <c r="F64" s="25">
        <v>15</v>
      </c>
      <c r="G64" s="8"/>
    </row>
    <row r="65" spans="1:7" ht="25.05" customHeight="1">
      <c r="A65" s="6">
        <v>62</v>
      </c>
      <c r="B65" s="7" t="s">
        <v>127</v>
      </c>
      <c r="C65" s="6" t="s">
        <v>694</v>
      </c>
      <c r="D65" s="6" t="s">
        <v>249</v>
      </c>
      <c r="E65" s="8" t="s">
        <v>711</v>
      </c>
      <c r="F65" s="25">
        <v>30</v>
      </c>
      <c r="G65" s="8"/>
    </row>
    <row r="66" spans="1:7" ht="25.05" customHeight="1">
      <c r="A66" s="6">
        <v>63</v>
      </c>
      <c r="B66" s="7" t="s">
        <v>127</v>
      </c>
      <c r="C66" s="6" t="s">
        <v>694</v>
      </c>
      <c r="D66" s="6" t="s">
        <v>249</v>
      </c>
      <c r="E66" s="8" t="s">
        <v>712</v>
      </c>
      <c r="F66" s="25">
        <v>20</v>
      </c>
      <c r="G66" s="8"/>
    </row>
    <row r="67" spans="1:7" ht="25.05" customHeight="1">
      <c r="A67" s="6">
        <v>64</v>
      </c>
      <c r="B67" s="7" t="s">
        <v>127</v>
      </c>
      <c r="C67" s="6" t="s">
        <v>694</v>
      </c>
      <c r="D67" s="3" t="s">
        <v>219</v>
      </c>
      <c r="E67" s="9" t="s">
        <v>255</v>
      </c>
      <c r="F67" s="79">
        <f>SUM(F61:F66)</f>
        <v>222.5</v>
      </c>
      <c r="G67" s="9"/>
    </row>
    <row r="68" spans="1:7" ht="25.05" customHeight="1">
      <c r="A68" s="6">
        <v>65</v>
      </c>
      <c r="B68" s="7" t="s">
        <v>127</v>
      </c>
      <c r="C68" s="6" t="s">
        <v>694</v>
      </c>
      <c r="D68" s="82" t="s">
        <v>256</v>
      </c>
      <c r="E68" s="11" t="s">
        <v>713</v>
      </c>
      <c r="F68" s="25">
        <v>50</v>
      </c>
      <c r="G68" s="8"/>
    </row>
    <row r="69" spans="1:7" ht="25.05" customHeight="1">
      <c r="A69" s="6">
        <v>66</v>
      </c>
      <c r="B69" s="7" t="s">
        <v>127</v>
      </c>
      <c r="C69" s="6" t="s">
        <v>694</v>
      </c>
      <c r="D69" s="82" t="s">
        <v>256</v>
      </c>
      <c r="E69" s="11" t="s">
        <v>714</v>
      </c>
      <c r="F69" s="106">
        <v>10</v>
      </c>
      <c r="G69" s="8"/>
    </row>
    <row r="70" spans="1:7" ht="25.05" customHeight="1">
      <c r="A70" s="6">
        <v>67</v>
      </c>
      <c r="B70" s="7" t="s">
        <v>127</v>
      </c>
      <c r="C70" s="6" t="s">
        <v>694</v>
      </c>
      <c r="D70" s="3" t="s">
        <v>219</v>
      </c>
      <c r="E70" s="9" t="s">
        <v>258</v>
      </c>
      <c r="F70" s="79">
        <f>SUM(F68:F69)</f>
        <v>60</v>
      </c>
      <c r="G70" s="9"/>
    </row>
    <row r="71" spans="1:7" ht="25.05" customHeight="1">
      <c r="A71" s="6">
        <v>68</v>
      </c>
      <c r="B71" s="7" t="s">
        <v>127</v>
      </c>
      <c r="C71" s="6" t="s">
        <v>694</v>
      </c>
      <c r="D71" s="6" t="s">
        <v>249</v>
      </c>
      <c r="E71" s="8" t="s">
        <v>425</v>
      </c>
      <c r="F71" s="25">
        <v>300</v>
      </c>
      <c r="G71" s="8"/>
    </row>
    <row r="72" spans="1:7" ht="25.05" customHeight="1">
      <c r="A72" s="6">
        <v>69</v>
      </c>
      <c r="B72" s="7" t="s">
        <v>127</v>
      </c>
      <c r="C72" s="6" t="s">
        <v>694</v>
      </c>
      <c r="D72" s="6" t="s">
        <v>249</v>
      </c>
      <c r="E72" s="8" t="s">
        <v>264</v>
      </c>
      <c r="F72" s="25">
        <v>60</v>
      </c>
      <c r="G72" s="8"/>
    </row>
    <row r="73" spans="1:7" ht="25.05" customHeight="1">
      <c r="A73" s="6">
        <v>70</v>
      </c>
      <c r="B73" s="7" t="s">
        <v>127</v>
      </c>
      <c r="C73" s="6" t="s">
        <v>694</v>
      </c>
      <c r="D73" s="6" t="s">
        <v>249</v>
      </c>
      <c r="E73" s="8" t="s">
        <v>265</v>
      </c>
      <c r="F73" s="25">
        <v>60</v>
      </c>
      <c r="G73" s="8"/>
    </row>
    <row r="74" spans="1:7" ht="25.05" customHeight="1">
      <c r="A74" s="6">
        <v>71</v>
      </c>
      <c r="B74" s="7" t="s">
        <v>127</v>
      </c>
      <c r="C74" s="6" t="s">
        <v>694</v>
      </c>
      <c r="D74" s="3" t="s">
        <v>219</v>
      </c>
      <c r="E74" s="9" t="s">
        <v>266</v>
      </c>
      <c r="F74" s="79">
        <f>SUM(F71:F73)</f>
        <v>420</v>
      </c>
      <c r="G74" s="9"/>
    </row>
    <row r="75" spans="1:7" ht="25.05" customHeight="1">
      <c r="A75" s="6">
        <v>72</v>
      </c>
      <c r="B75" s="7" t="s">
        <v>127</v>
      </c>
      <c r="C75" s="6" t="s">
        <v>694</v>
      </c>
      <c r="D75" s="3" t="s">
        <v>267</v>
      </c>
      <c r="E75" s="10" t="s">
        <v>715</v>
      </c>
      <c r="F75" s="10">
        <v>4320.8</v>
      </c>
      <c r="G75" s="107"/>
    </row>
    <row r="76" spans="1:7" ht="25.05" customHeight="1">
      <c r="A76" s="219" t="s">
        <v>357</v>
      </c>
      <c r="B76" s="219"/>
      <c r="C76" s="219"/>
      <c r="D76" s="219"/>
      <c r="E76" s="219"/>
      <c r="F76" s="219"/>
      <c r="G76" s="219"/>
    </row>
  </sheetData>
  <autoFilter ref="A3:G76" xr:uid="{00000000-0009-0000-0000-000027000000}"/>
  <mergeCells count="3">
    <mergeCell ref="A1:G1"/>
    <mergeCell ref="A2:G2"/>
    <mergeCell ref="A76:G76"/>
  </mergeCells>
  <phoneticPr fontId="23" type="noConversion"/>
  <pageMargins left="0.59055118110236204" right="0.196850393700787" top="0.35433070866141703" bottom="0.47244094488188998" header="0.35433070866141703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G72"/>
  <sheetViews>
    <sheetView view="pageBreakPreview" topLeftCell="A29" zoomScale="115" zoomScaleNormal="85" workbookViewId="0">
      <selection activeCell="E63" sqref="E63"/>
    </sheetView>
  </sheetViews>
  <sheetFormatPr defaultColWidth="9" defaultRowHeight="15.75"/>
  <cols>
    <col min="1" max="1" width="4.9296875" style="31" customWidth="1"/>
    <col min="2" max="2" width="9.46484375" style="32" customWidth="1"/>
    <col min="3" max="3" width="15.53125" style="31" customWidth="1"/>
    <col min="4" max="4" width="10.9296875" style="31" customWidth="1"/>
    <col min="5" max="5" width="52.73046875" style="33" customWidth="1"/>
    <col min="6" max="6" width="6.796875" style="13" customWidth="1"/>
    <col min="7" max="7" width="7.265625" style="13" customWidth="1"/>
    <col min="8" max="16384" width="9" style="16"/>
  </cols>
  <sheetData>
    <row r="1" spans="1:7" ht="25.05" customHeight="1">
      <c r="A1" s="215" t="s">
        <v>716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717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127</v>
      </c>
      <c r="C4" s="21" t="s">
        <v>130</v>
      </c>
      <c r="D4" s="20" t="s">
        <v>209</v>
      </c>
      <c r="E4" s="28" t="s">
        <v>210</v>
      </c>
      <c r="F4" s="22">
        <v>24</v>
      </c>
      <c r="G4" s="22"/>
    </row>
    <row r="5" spans="1:7" ht="25.05" customHeight="1">
      <c r="A5" s="20">
        <v>2</v>
      </c>
      <c r="B5" s="21" t="s">
        <v>127</v>
      </c>
      <c r="C5" s="21" t="s">
        <v>130</v>
      </c>
      <c r="D5" s="20" t="s">
        <v>209</v>
      </c>
      <c r="E5" s="28" t="s">
        <v>211</v>
      </c>
      <c r="F5" s="22">
        <v>20</v>
      </c>
      <c r="G5" s="22"/>
    </row>
    <row r="6" spans="1:7" ht="25.05" customHeight="1">
      <c r="A6" s="20">
        <v>3</v>
      </c>
      <c r="B6" s="21" t="s">
        <v>127</v>
      </c>
      <c r="C6" s="21" t="s">
        <v>130</v>
      </c>
      <c r="D6" s="20" t="s">
        <v>209</v>
      </c>
      <c r="E6" s="28" t="s">
        <v>212</v>
      </c>
      <c r="F6" s="22">
        <v>39</v>
      </c>
      <c r="G6" s="22"/>
    </row>
    <row r="7" spans="1:7" ht="25.05" customHeight="1">
      <c r="A7" s="20">
        <v>4</v>
      </c>
      <c r="B7" s="21" t="s">
        <v>127</v>
      </c>
      <c r="C7" s="21" t="s">
        <v>130</v>
      </c>
      <c r="D7" s="20" t="s">
        <v>209</v>
      </c>
      <c r="E7" s="28" t="s">
        <v>272</v>
      </c>
      <c r="F7" s="22">
        <v>39</v>
      </c>
      <c r="G7" s="22"/>
    </row>
    <row r="8" spans="1:7" ht="25.05" customHeight="1">
      <c r="A8" s="20">
        <v>5</v>
      </c>
      <c r="B8" s="21" t="s">
        <v>127</v>
      </c>
      <c r="C8" s="21" t="s">
        <v>130</v>
      </c>
      <c r="D8" s="20" t="s">
        <v>209</v>
      </c>
      <c r="E8" s="28" t="s">
        <v>214</v>
      </c>
      <c r="F8" s="22">
        <v>31</v>
      </c>
      <c r="G8" s="22"/>
    </row>
    <row r="9" spans="1:7" ht="25.05" customHeight="1">
      <c r="A9" s="20">
        <v>6</v>
      </c>
      <c r="B9" s="21" t="s">
        <v>127</v>
      </c>
      <c r="C9" s="21" t="s">
        <v>130</v>
      </c>
      <c r="D9" s="20" t="s">
        <v>209</v>
      </c>
      <c r="E9" s="28" t="s">
        <v>312</v>
      </c>
      <c r="F9" s="22">
        <v>12</v>
      </c>
      <c r="G9" s="22"/>
    </row>
    <row r="10" spans="1:7" ht="25.05" customHeight="1">
      <c r="A10" s="20">
        <v>7</v>
      </c>
      <c r="B10" s="21" t="s">
        <v>127</v>
      </c>
      <c r="C10" s="21" t="s">
        <v>130</v>
      </c>
      <c r="D10" s="20" t="s">
        <v>209</v>
      </c>
      <c r="E10" s="28" t="s">
        <v>216</v>
      </c>
      <c r="F10" s="34">
        <v>50</v>
      </c>
      <c r="G10" s="22"/>
    </row>
    <row r="11" spans="1:7" ht="25.05" customHeight="1">
      <c r="A11" s="20">
        <v>8</v>
      </c>
      <c r="B11" s="21" t="s">
        <v>127</v>
      </c>
      <c r="C11" s="21" t="s">
        <v>130</v>
      </c>
      <c r="D11" s="20" t="s">
        <v>209</v>
      </c>
      <c r="E11" s="28" t="s">
        <v>292</v>
      </c>
      <c r="F11" s="22">
        <v>36</v>
      </c>
      <c r="G11" s="22"/>
    </row>
    <row r="12" spans="1:7" ht="25.05" customHeight="1">
      <c r="A12" s="20">
        <v>9</v>
      </c>
      <c r="B12" s="21" t="s">
        <v>127</v>
      </c>
      <c r="C12" s="21" t="s">
        <v>130</v>
      </c>
      <c r="D12" s="20" t="s">
        <v>209</v>
      </c>
      <c r="E12" s="28" t="s">
        <v>217</v>
      </c>
      <c r="F12" s="22">
        <v>75</v>
      </c>
      <c r="G12" s="20"/>
    </row>
    <row r="13" spans="1:7" ht="25.05" customHeight="1">
      <c r="A13" s="20">
        <v>10</v>
      </c>
      <c r="B13" s="21" t="s">
        <v>127</v>
      </c>
      <c r="C13" s="21" t="s">
        <v>130</v>
      </c>
      <c r="D13" s="20" t="s">
        <v>209</v>
      </c>
      <c r="E13" s="28" t="s">
        <v>218</v>
      </c>
      <c r="F13" s="22">
        <v>10</v>
      </c>
      <c r="G13" s="22"/>
    </row>
    <row r="14" spans="1:7" ht="25.05" customHeight="1">
      <c r="A14" s="20">
        <v>11</v>
      </c>
      <c r="B14" s="21" t="s">
        <v>127</v>
      </c>
      <c r="C14" s="21" t="s">
        <v>130</v>
      </c>
      <c r="D14" s="17" t="s">
        <v>219</v>
      </c>
      <c r="E14" s="35" t="s">
        <v>220</v>
      </c>
      <c r="F14" s="36">
        <f>SUM(F4:F13)</f>
        <v>336</v>
      </c>
      <c r="G14" s="36"/>
    </row>
    <row r="15" spans="1:7" ht="25.05" customHeight="1">
      <c r="A15" s="20">
        <v>12</v>
      </c>
      <c r="B15" s="21" t="s">
        <v>127</v>
      </c>
      <c r="C15" s="21" t="s">
        <v>130</v>
      </c>
      <c r="D15" s="20" t="s">
        <v>401</v>
      </c>
      <c r="E15" s="28" t="s">
        <v>402</v>
      </c>
      <c r="F15" s="22">
        <v>44</v>
      </c>
      <c r="G15" s="22"/>
    </row>
    <row r="16" spans="1:7" ht="25.05" customHeight="1">
      <c r="A16" s="20">
        <v>13</v>
      </c>
      <c r="B16" s="21" t="s">
        <v>127</v>
      </c>
      <c r="C16" s="21" t="s">
        <v>130</v>
      </c>
      <c r="D16" s="20" t="s">
        <v>401</v>
      </c>
      <c r="E16" s="28" t="s">
        <v>403</v>
      </c>
      <c r="F16" s="22">
        <v>44</v>
      </c>
      <c r="G16" s="22"/>
    </row>
    <row r="17" spans="1:7" ht="25.05" customHeight="1">
      <c r="A17" s="20">
        <v>14</v>
      </c>
      <c r="B17" s="21" t="s">
        <v>127</v>
      </c>
      <c r="C17" s="21" t="s">
        <v>130</v>
      </c>
      <c r="D17" s="20" t="s">
        <v>401</v>
      </c>
      <c r="E17" s="28" t="s">
        <v>404</v>
      </c>
      <c r="F17" s="22">
        <v>160</v>
      </c>
      <c r="G17" s="22"/>
    </row>
    <row r="18" spans="1:7" ht="25.05" customHeight="1">
      <c r="A18" s="20">
        <v>15</v>
      </c>
      <c r="B18" s="21" t="s">
        <v>127</v>
      </c>
      <c r="C18" s="21" t="s">
        <v>130</v>
      </c>
      <c r="D18" s="20" t="s">
        <v>401</v>
      </c>
      <c r="E18" s="28" t="s">
        <v>405</v>
      </c>
      <c r="F18" s="22">
        <v>80</v>
      </c>
      <c r="G18" s="22"/>
    </row>
    <row r="19" spans="1:7" ht="25.05" customHeight="1">
      <c r="A19" s="20">
        <v>16</v>
      </c>
      <c r="B19" s="21" t="s">
        <v>127</v>
      </c>
      <c r="C19" s="21" t="s">
        <v>130</v>
      </c>
      <c r="D19" s="20" t="s">
        <v>401</v>
      </c>
      <c r="E19" s="28" t="s">
        <v>406</v>
      </c>
      <c r="F19" s="22">
        <v>30</v>
      </c>
      <c r="G19" s="22"/>
    </row>
    <row r="20" spans="1:7" ht="25.05" customHeight="1">
      <c r="A20" s="20">
        <v>17</v>
      </c>
      <c r="B20" s="21" t="s">
        <v>127</v>
      </c>
      <c r="C20" s="21" t="s">
        <v>130</v>
      </c>
      <c r="D20" s="20" t="s">
        <v>401</v>
      </c>
      <c r="E20" s="28" t="s">
        <v>459</v>
      </c>
      <c r="F20" s="22">
        <v>300</v>
      </c>
      <c r="G20" s="22"/>
    </row>
    <row r="21" spans="1:7" ht="25.05" customHeight="1">
      <c r="A21" s="20">
        <v>18</v>
      </c>
      <c r="B21" s="21" t="s">
        <v>127</v>
      </c>
      <c r="C21" s="21" t="s">
        <v>130</v>
      </c>
      <c r="D21" s="20" t="s">
        <v>401</v>
      </c>
      <c r="E21" s="28" t="s">
        <v>460</v>
      </c>
      <c r="F21" s="22">
        <v>16</v>
      </c>
      <c r="G21" s="22"/>
    </row>
    <row r="22" spans="1:7" ht="25.05" customHeight="1">
      <c r="A22" s="20">
        <v>19</v>
      </c>
      <c r="B22" s="21" t="s">
        <v>127</v>
      </c>
      <c r="C22" s="21" t="s">
        <v>130</v>
      </c>
      <c r="D22" s="17" t="s">
        <v>219</v>
      </c>
      <c r="E22" s="35" t="s">
        <v>409</v>
      </c>
      <c r="F22" s="36">
        <f>SUM(F15:F21)</f>
        <v>674</v>
      </c>
      <c r="G22" s="36"/>
    </row>
    <row r="23" spans="1:7" ht="25.05" customHeight="1">
      <c r="A23" s="20">
        <v>20</v>
      </c>
      <c r="B23" s="21" t="s">
        <v>127</v>
      </c>
      <c r="C23" s="21" t="s">
        <v>130</v>
      </c>
      <c r="D23" s="20" t="s">
        <v>221</v>
      </c>
      <c r="E23" s="28" t="s">
        <v>222</v>
      </c>
      <c r="F23" s="22">
        <v>14</v>
      </c>
      <c r="G23" s="22"/>
    </row>
    <row r="24" spans="1:7" ht="25.05" customHeight="1">
      <c r="A24" s="20">
        <v>21</v>
      </c>
      <c r="B24" s="21" t="s">
        <v>127</v>
      </c>
      <c r="C24" s="21" t="s">
        <v>130</v>
      </c>
      <c r="D24" s="20" t="s">
        <v>221</v>
      </c>
      <c r="E24" s="28" t="s">
        <v>695</v>
      </c>
      <c r="F24" s="22">
        <v>25</v>
      </c>
      <c r="G24" s="22"/>
    </row>
    <row r="25" spans="1:7" ht="25.05" customHeight="1">
      <c r="A25" s="20">
        <v>22</v>
      </c>
      <c r="B25" s="21" t="s">
        <v>127</v>
      </c>
      <c r="C25" s="21" t="s">
        <v>130</v>
      </c>
      <c r="D25" s="20" t="s">
        <v>221</v>
      </c>
      <c r="E25" s="28" t="s">
        <v>273</v>
      </c>
      <c r="F25" s="22">
        <v>30</v>
      </c>
      <c r="G25" s="22"/>
    </row>
    <row r="26" spans="1:7" ht="25.05" customHeight="1">
      <c r="A26" s="20">
        <v>23</v>
      </c>
      <c r="B26" s="21" t="s">
        <v>127</v>
      </c>
      <c r="C26" s="21" t="s">
        <v>130</v>
      </c>
      <c r="D26" s="20" t="s">
        <v>221</v>
      </c>
      <c r="E26" s="28" t="s">
        <v>462</v>
      </c>
      <c r="F26" s="22">
        <v>15</v>
      </c>
      <c r="G26" s="22"/>
    </row>
    <row r="27" spans="1:7" ht="25.05" customHeight="1">
      <c r="A27" s="20">
        <v>24</v>
      </c>
      <c r="B27" s="21" t="s">
        <v>127</v>
      </c>
      <c r="C27" s="21" t="s">
        <v>130</v>
      </c>
      <c r="D27" s="20" t="s">
        <v>221</v>
      </c>
      <c r="E27" s="28" t="s">
        <v>224</v>
      </c>
      <c r="F27" s="22">
        <v>20</v>
      </c>
      <c r="G27" s="22"/>
    </row>
    <row r="28" spans="1:7" ht="25.05" customHeight="1">
      <c r="A28" s="20">
        <v>25</v>
      </c>
      <c r="B28" s="21" t="s">
        <v>127</v>
      </c>
      <c r="C28" s="21" t="s">
        <v>130</v>
      </c>
      <c r="D28" s="20" t="s">
        <v>221</v>
      </c>
      <c r="E28" s="28" t="s">
        <v>225</v>
      </c>
      <c r="F28" s="22">
        <v>30</v>
      </c>
      <c r="G28" s="22"/>
    </row>
    <row r="29" spans="1:7" ht="25.05" customHeight="1">
      <c r="A29" s="20">
        <v>26</v>
      </c>
      <c r="B29" s="21" t="s">
        <v>127</v>
      </c>
      <c r="C29" s="21" t="s">
        <v>130</v>
      </c>
      <c r="D29" s="20" t="s">
        <v>221</v>
      </c>
      <c r="E29" s="28" t="s">
        <v>226</v>
      </c>
      <c r="F29" s="22">
        <v>30</v>
      </c>
      <c r="G29" s="22"/>
    </row>
    <row r="30" spans="1:7" ht="25.05" customHeight="1">
      <c r="A30" s="20">
        <v>27</v>
      </c>
      <c r="B30" s="21" t="s">
        <v>127</v>
      </c>
      <c r="C30" s="21" t="s">
        <v>130</v>
      </c>
      <c r="D30" s="20" t="s">
        <v>221</v>
      </c>
      <c r="E30" s="28" t="s">
        <v>391</v>
      </c>
      <c r="F30" s="22">
        <v>20</v>
      </c>
      <c r="G30" s="22"/>
    </row>
    <row r="31" spans="1:7" ht="25.05" customHeight="1">
      <c r="A31" s="20">
        <v>28</v>
      </c>
      <c r="B31" s="21" t="s">
        <v>127</v>
      </c>
      <c r="C31" s="21" t="s">
        <v>130</v>
      </c>
      <c r="D31" s="17" t="s">
        <v>219</v>
      </c>
      <c r="E31" s="35" t="s">
        <v>228</v>
      </c>
      <c r="F31" s="35">
        <f>SUM(F23:F30)</f>
        <v>184</v>
      </c>
      <c r="G31" s="36"/>
    </row>
    <row r="32" spans="1:7" ht="25.05" customHeight="1">
      <c r="A32" s="20">
        <v>29</v>
      </c>
      <c r="B32" s="21" t="s">
        <v>127</v>
      </c>
      <c r="C32" s="21" t="s">
        <v>130</v>
      </c>
      <c r="D32" s="20" t="s">
        <v>229</v>
      </c>
      <c r="E32" s="28" t="s">
        <v>230</v>
      </c>
      <c r="F32" s="22">
        <v>14</v>
      </c>
      <c r="G32" s="22"/>
    </row>
    <row r="33" spans="1:7" ht="25.05" customHeight="1">
      <c r="A33" s="20">
        <v>30</v>
      </c>
      <c r="B33" s="21" t="s">
        <v>127</v>
      </c>
      <c r="C33" s="21" t="s">
        <v>130</v>
      </c>
      <c r="D33" s="20" t="s">
        <v>229</v>
      </c>
      <c r="E33" s="28" t="s">
        <v>696</v>
      </c>
      <c r="F33" s="22">
        <v>30</v>
      </c>
      <c r="G33" s="22"/>
    </row>
    <row r="34" spans="1:7" ht="25.05" customHeight="1">
      <c r="A34" s="20">
        <v>31</v>
      </c>
      <c r="B34" s="21" t="s">
        <v>127</v>
      </c>
      <c r="C34" s="21" t="s">
        <v>130</v>
      </c>
      <c r="D34" s="20" t="s">
        <v>229</v>
      </c>
      <c r="E34" s="28" t="s">
        <v>231</v>
      </c>
      <c r="F34" s="22">
        <v>65</v>
      </c>
      <c r="G34" s="22"/>
    </row>
    <row r="35" spans="1:7" ht="25.05" customHeight="1">
      <c r="A35" s="20">
        <v>32</v>
      </c>
      <c r="B35" s="21" t="s">
        <v>127</v>
      </c>
      <c r="C35" s="21" t="s">
        <v>130</v>
      </c>
      <c r="D35" s="20" t="s">
        <v>229</v>
      </c>
      <c r="E35" s="28" t="s">
        <v>385</v>
      </c>
      <c r="F35" s="22">
        <v>20</v>
      </c>
      <c r="G35" s="22"/>
    </row>
    <row r="36" spans="1:7" ht="25.05" customHeight="1">
      <c r="A36" s="20">
        <v>33</v>
      </c>
      <c r="B36" s="21" t="s">
        <v>127</v>
      </c>
      <c r="C36" s="21" t="s">
        <v>130</v>
      </c>
      <c r="D36" s="20" t="s">
        <v>229</v>
      </c>
      <c r="E36" s="28" t="s">
        <v>412</v>
      </c>
      <c r="F36" s="22">
        <v>50</v>
      </c>
      <c r="G36" s="22"/>
    </row>
    <row r="37" spans="1:7" ht="25.05" customHeight="1">
      <c r="A37" s="20">
        <v>34</v>
      </c>
      <c r="B37" s="21" t="s">
        <v>127</v>
      </c>
      <c r="C37" s="21" t="s">
        <v>130</v>
      </c>
      <c r="D37" s="20" t="s">
        <v>229</v>
      </c>
      <c r="E37" s="28" t="s">
        <v>697</v>
      </c>
      <c r="F37" s="22">
        <v>30</v>
      </c>
      <c r="G37" s="22"/>
    </row>
    <row r="38" spans="1:7" ht="25.05" customHeight="1">
      <c r="A38" s="20">
        <v>35</v>
      </c>
      <c r="B38" s="21" t="s">
        <v>127</v>
      </c>
      <c r="C38" s="21" t="s">
        <v>130</v>
      </c>
      <c r="D38" s="20" t="s">
        <v>229</v>
      </c>
      <c r="E38" s="28" t="s">
        <v>698</v>
      </c>
      <c r="F38" s="22">
        <v>30</v>
      </c>
      <c r="G38" s="22"/>
    </row>
    <row r="39" spans="1:7" ht="25.05" customHeight="1">
      <c r="A39" s="20">
        <v>36</v>
      </c>
      <c r="B39" s="21" t="s">
        <v>127</v>
      </c>
      <c r="C39" s="21" t="s">
        <v>130</v>
      </c>
      <c r="D39" s="20" t="s">
        <v>229</v>
      </c>
      <c r="E39" s="28" t="s">
        <v>699</v>
      </c>
      <c r="F39" s="22">
        <v>20</v>
      </c>
      <c r="G39" s="22"/>
    </row>
    <row r="40" spans="1:7" ht="25.05" customHeight="1">
      <c r="A40" s="20">
        <v>37</v>
      </c>
      <c r="B40" s="21" t="s">
        <v>127</v>
      </c>
      <c r="C40" s="21" t="s">
        <v>130</v>
      </c>
      <c r="D40" s="20" t="s">
        <v>229</v>
      </c>
      <c r="E40" s="28" t="s">
        <v>700</v>
      </c>
      <c r="F40" s="22">
        <v>30</v>
      </c>
      <c r="G40" s="22"/>
    </row>
    <row r="41" spans="1:7" ht="25.05" customHeight="1">
      <c r="A41" s="20">
        <v>39</v>
      </c>
      <c r="B41" s="21" t="s">
        <v>127</v>
      </c>
      <c r="C41" s="21" t="s">
        <v>130</v>
      </c>
      <c r="D41" s="20" t="s">
        <v>229</v>
      </c>
      <c r="E41" s="28" t="s">
        <v>416</v>
      </c>
      <c r="F41" s="22">
        <v>8</v>
      </c>
      <c r="G41" s="22"/>
    </row>
    <row r="42" spans="1:7" ht="25.05" customHeight="1">
      <c r="A42" s="20">
        <v>40</v>
      </c>
      <c r="B42" s="21" t="s">
        <v>127</v>
      </c>
      <c r="C42" s="21" t="s">
        <v>130</v>
      </c>
      <c r="D42" s="20" t="s">
        <v>229</v>
      </c>
      <c r="E42" s="28" t="s">
        <v>415</v>
      </c>
      <c r="F42" s="22">
        <v>140</v>
      </c>
      <c r="G42" s="22"/>
    </row>
    <row r="43" spans="1:7" ht="25.05" customHeight="1">
      <c r="A43" s="20">
        <v>41</v>
      </c>
      <c r="B43" s="21" t="s">
        <v>127</v>
      </c>
      <c r="C43" s="21" t="s">
        <v>130</v>
      </c>
      <c r="D43" s="17" t="s">
        <v>219</v>
      </c>
      <c r="E43" s="35" t="s">
        <v>238</v>
      </c>
      <c r="F43" s="35">
        <f>SUM(F32:F42)</f>
        <v>437</v>
      </c>
      <c r="G43" s="36"/>
    </row>
    <row r="44" spans="1:7" s="105" customFormat="1" ht="25.05" customHeight="1">
      <c r="A44" s="20">
        <v>42</v>
      </c>
      <c r="B44" s="21" t="s">
        <v>127</v>
      </c>
      <c r="C44" s="21" t="s">
        <v>130</v>
      </c>
      <c r="D44" s="20" t="s">
        <v>239</v>
      </c>
      <c r="E44" s="28" t="s">
        <v>240</v>
      </c>
      <c r="F44" s="23">
        <v>90</v>
      </c>
      <c r="G44" s="22"/>
    </row>
    <row r="45" spans="1:7" s="105" customFormat="1" ht="25.05" customHeight="1">
      <c r="A45" s="20">
        <v>43</v>
      </c>
      <c r="B45" s="21" t="s">
        <v>127</v>
      </c>
      <c r="C45" s="21" t="s">
        <v>130</v>
      </c>
      <c r="D45" s="20" t="s">
        <v>239</v>
      </c>
      <c r="E45" s="28" t="s">
        <v>241</v>
      </c>
      <c r="F45" s="23">
        <v>90</v>
      </c>
      <c r="G45" s="22"/>
    </row>
    <row r="46" spans="1:7" ht="25.05" customHeight="1">
      <c r="A46" s="20">
        <v>44</v>
      </c>
      <c r="B46" s="21" t="s">
        <v>127</v>
      </c>
      <c r="C46" s="21" t="s">
        <v>130</v>
      </c>
      <c r="D46" s="17" t="s">
        <v>219</v>
      </c>
      <c r="E46" s="35" t="s">
        <v>242</v>
      </c>
      <c r="F46" s="37">
        <f>SUM(F44:F45)</f>
        <v>180</v>
      </c>
      <c r="G46" s="36"/>
    </row>
    <row r="47" spans="1:7" ht="25.05" customHeight="1">
      <c r="A47" s="20">
        <v>45</v>
      </c>
      <c r="B47" s="21" t="s">
        <v>127</v>
      </c>
      <c r="C47" s="21" t="s">
        <v>130</v>
      </c>
      <c r="D47" s="38" t="s">
        <v>259</v>
      </c>
      <c r="E47" s="39" t="s">
        <v>718</v>
      </c>
      <c r="F47" s="40">
        <v>1080</v>
      </c>
      <c r="G47" s="34"/>
    </row>
    <row r="48" spans="1:7" ht="25.05" customHeight="1">
      <c r="A48" s="20">
        <v>46</v>
      </c>
      <c r="B48" s="21" t="s">
        <v>127</v>
      </c>
      <c r="C48" s="21" t="s">
        <v>130</v>
      </c>
      <c r="D48" s="38" t="s">
        <v>259</v>
      </c>
      <c r="E48" s="39" t="s">
        <v>719</v>
      </c>
      <c r="F48" s="40">
        <v>108</v>
      </c>
      <c r="G48" s="34"/>
    </row>
    <row r="49" spans="1:7" ht="25.05" customHeight="1">
      <c r="A49" s="20">
        <v>47</v>
      </c>
      <c r="B49" s="21" t="s">
        <v>127</v>
      </c>
      <c r="C49" s="21" t="s">
        <v>130</v>
      </c>
      <c r="D49" s="38" t="s">
        <v>259</v>
      </c>
      <c r="E49" s="39" t="s">
        <v>720</v>
      </c>
      <c r="F49" s="40">
        <v>165</v>
      </c>
      <c r="G49" s="34"/>
    </row>
    <row r="50" spans="1:7" ht="25.05" customHeight="1">
      <c r="A50" s="20">
        <v>48</v>
      </c>
      <c r="B50" s="21" t="s">
        <v>127</v>
      </c>
      <c r="C50" s="21" t="s">
        <v>130</v>
      </c>
      <c r="D50" s="17" t="s">
        <v>219</v>
      </c>
      <c r="E50" s="41" t="s">
        <v>261</v>
      </c>
      <c r="F50" s="37">
        <f>SUM(F47:F49)</f>
        <v>1353</v>
      </c>
      <c r="G50" s="36"/>
    </row>
    <row r="51" spans="1:7" ht="25.05" customHeight="1">
      <c r="A51" s="20">
        <v>49</v>
      </c>
      <c r="B51" s="21" t="s">
        <v>127</v>
      </c>
      <c r="C51" s="21" t="s">
        <v>130</v>
      </c>
      <c r="D51" s="20" t="s">
        <v>243</v>
      </c>
      <c r="E51" s="28" t="s">
        <v>704</v>
      </c>
      <c r="F51" s="23">
        <v>15.6</v>
      </c>
      <c r="G51" s="22"/>
    </row>
    <row r="52" spans="1:7" ht="25.05" customHeight="1">
      <c r="A52" s="20">
        <v>50</v>
      </c>
      <c r="B52" s="21" t="s">
        <v>127</v>
      </c>
      <c r="C52" s="21" t="s">
        <v>130</v>
      </c>
      <c r="D52" s="20" t="s">
        <v>243</v>
      </c>
      <c r="E52" s="28" t="s">
        <v>705</v>
      </c>
      <c r="F52" s="23">
        <v>15.6</v>
      </c>
      <c r="G52" s="22"/>
    </row>
    <row r="53" spans="1:7" ht="25.05" customHeight="1">
      <c r="A53" s="20">
        <v>51</v>
      </c>
      <c r="B53" s="21" t="s">
        <v>127</v>
      </c>
      <c r="C53" s="21" t="s">
        <v>130</v>
      </c>
      <c r="D53" s="20" t="s">
        <v>243</v>
      </c>
      <c r="E53" s="28" t="s">
        <v>706</v>
      </c>
      <c r="F53" s="23">
        <v>25.1</v>
      </c>
      <c r="G53" s="22"/>
    </row>
    <row r="54" spans="1:7" ht="25.05" customHeight="1">
      <c r="A54" s="20">
        <v>52</v>
      </c>
      <c r="B54" s="21" t="s">
        <v>127</v>
      </c>
      <c r="C54" s="21" t="s">
        <v>130</v>
      </c>
      <c r="D54" s="20" t="s">
        <v>243</v>
      </c>
      <c r="E54" s="28" t="s">
        <v>247</v>
      </c>
      <c r="F54" s="23">
        <v>2</v>
      </c>
      <c r="G54" s="22"/>
    </row>
    <row r="55" spans="1:7" ht="25.05" customHeight="1">
      <c r="A55" s="20">
        <v>53</v>
      </c>
      <c r="B55" s="21" t="s">
        <v>127</v>
      </c>
      <c r="C55" s="21" t="s">
        <v>130</v>
      </c>
      <c r="D55" s="17" t="s">
        <v>219</v>
      </c>
      <c r="E55" s="35" t="s">
        <v>248</v>
      </c>
      <c r="F55" s="37">
        <f>SUM(F51:F54)</f>
        <v>58.3</v>
      </c>
      <c r="G55" s="36"/>
    </row>
    <row r="56" spans="1:7" ht="25.05" customHeight="1">
      <c r="A56" s="20">
        <v>54</v>
      </c>
      <c r="B56" s="21" t="s">
        <v>127</v>
      </c>
      <c r="C56" s="21" t="s">
        <v>130</v>
      </c>
      <c r="D56" s="20" t="s">
        <v>249</v>
      </c>
      <c r="E56" s="28" t="s">
        <v>707</v>
      </c>
      <c r="F56" s="23">
        <v>22.5</v>
      </c>
      <c r="G56" s="22"/>
    </row>
    <row r="57" spans="1:7" ht="25.05" customHeight="1">
      <c r="A57" s="20">
        <v>55</v>
      </c>
      <c r="B57" s="21" t="s">
        <v>127</v>
      </c>
      <c r="C57" s="21" t="s">
        <v>130</v>
      </c>
      <c r="D57" s="20" t="s">
        <v>249</v>
      </c>
      <c r="E57" s="28" t="s">
        <v>721</v>
      </c>
      <c r="F57" s="23">
        <v>90</v>
      </c>
      <c r="G57" s="22"/>
    </row>
    <row r="58" spans="1:7" ht="25.05" customHeight="1">
      <c r="A58" s="20">
        <v>56</v>
      </c>
      <c r="B58" s="21" t="s">
        <v>127</v>
      </c>
      <c r="C58" s="21" t="s">
        <v>130</v>
      </c>
      <c r="D58" s="20" t="s">
        <v>249</v>
      </c>
      <c r="E58" s="28" t="s">
        <v>710</v>
      </c>
      <c r="F58" s="23">
        <v>15</v>
      </c>
      <c r="G58" s="22"/>
    </row>
    <row r="59" spans="1:7" ht="33" customHeight="1">
      <c r="A59" s="20">
        <v>57</v>
      </c>
      <c r="B59" s="21" t="s">
        <v>127</v>
      </c>
      <c r="C59" s="21" t="s">
        <v>130</v>
      </c>
      <c r="D59" s="20" t="s">
        <v>249</v>
      </c>
      <c r="E59" s="28" t="s">
        <v>722</v>
      </c>
      <c r="F59" s="23">
        <v>30</v>
      </c>
      <c r="G59" s="22"/>
    </row>
    <row r="60" spans="1:7" ht="25.05" customHeight="1">
      <c r="A60" s="20">
        <v>58</v>
      </c>
      <c r="B60" s="21" t="s">
        <v>127</v>
      </c>
      <c r="C60" s="21" t="s">
        <v>130</v>
      </c>
      <c r="D60" s="20" t="s">
        <v>249</v>
      </c>
      <c r="E60" s="39" t="s">
        <v>723</v>
      </c>
      <c r="F60" s="23">
        <v>300</v>
      </c>
      <c r="G60" s="22"/>
    </row>
    <row r="61" spans="1:7" ht="25.05" customHeight="1">
      <c r="A61" s="20">
        <v>59</v>
      </c>
      <c r="B61" s="21" t="s">
        <v>127</v>
      </c>
      <c r="C61" s="21" t="s">
        <v>130</v>
      </c>
      <c r="D61" s="20" t="s">
        <v>249</v>
      </c>
      <c r="E61" s="39" t="s">
        <v>724</v>
      </c>
      <c r="F61" s="23">
        <v>130</v>
      </c>
      <c r="G61" s="22"/>
    </row>
    <row r="62" spans="1:7" ht="25.05" customHeight="1">
      <c r="A62" s="20">
        <v>60</v>
      </c>
      <c r="B62" s="21" t="s">
        <v>127</v>
      </c>
      <c r="C62" s="21" t="s">
        <v>130</v>
      </c>
      <c r="D62" s="20" t="s">
        <v>249</v>
      </c>
      <c r="E62" s="28" t="s">
        <v>725</v>
      </c>
      <c r="F62" s="27">
        <v>150</v>
      </c>
      <c r="G62" s="22"/>
    </row>
    <row r="63" spans="1:7" ht="25.05" customHeight="1">
      <c r="A63" s="20">
        <v>61</v>
      </c>
      <c r="B63" s="21" t="s">
        <v>127</v>
      </c>
      <c r="C63" s="21" t="s">
        <v>130</v>
      </c>
      <c r="D63" s="17" t="s">
        <v>219</v>
      </c>
      <c r="E63" s="35" t="s">
        <v>255</v>
      </c>
      <c r="F63" s="37">
        <f>SUM(F56:F62)</f>
        <v>737.5</v>
      </c>
      <c r="G63" s="36"/>
    </row>
    <row r="64" spans="1:7" ht="25.05" customHeight="1">
      <c r="A64" s="20">
        <v>62</v>
      </c>
      <c r="B64" s="21" t="s">
        <v>127</v>
      </c>
      <c r="C64" s="21" t="s">
        <v>130</v>
      </c>
      <c r="D64" s="69" t="s">
        <v>256</v>
      </c>
      <c r="E64" s="28" t="s">
        <v>713</v>
      </c>
      <c r="F64" s="23">
        <v>50</v>
      </c>
      <c r="G64" s="22"/>
    </row>
    <row r="65" spans="1:7" ht="25.05" customHeight="1">
      <c r="A65" s="20">
        <v>63</v>
      </c>
      <c r="B65" s="21" t="s">
        <v>127</v>
      </c>
      <c r="C65" s="21" t="s">
        <v>130</v>
      </c>
      <c r="D65" s="69" t="s">
        <v>256</v>
      </c>
      <c r="E65" s="28" t="s">
        <v>714</v>
      </c>
      <c r="F65" s="42">
        <v>10</v>
      </c>
      <c r="G65" s="22"/>
    </row>
    <row r="66" spans="1:7" ht="25.05" customHeight="1">
      <c r="A66" s="20">
        <v>64</v>
      </c>
      <c r="B66" s="21" t="s">
        <v>127</v>
      </c>
      <c r="C66" s="21" t="s">
        <v>130</v>
      </c>
      <c r="D66" s="17" t="s">
        <v>219</v>
      </c>
      <c r="E66" s="35" t="s">
        <v>258</v>
      </c>
      <c r="F66" s="37">
        <f>SUM(F64:F65)</f>
        <v>60</v>
      </c>
      <c r="G66" s="36"/>
    </row>
    <row r="67" spans="1:7" ht="25.05" customHeight="1">
      <c r="A67" s="20">
        <v>65</v>
      </c>
      <c r="B67" s="21" t="s">
        <v>127</v>
      </c>
      <c r="C67" s="21" t="s">
        <v>130</v>
      </c>
      <c r="D67" s="20" t="s">
        <v>262</v>
      </c>
      <c r="E67" s="28" t="s">
        <v>425</v>
      </c>
      <c r="F67" s="23">
        <v>300</v>
      </c>
      <c r="G67" s="22"/>
    </row>
    <row r="68" spans="1:7" ht="25.05" customHeight="1">
      <c r="A68" s="20">
        <v>66</v>
      </c>
      <c r="B68" s="21" t="s">
        <v>127</v>
      </c>
      <c r="C68" s="21" t="s">
        <v>130</v>
      </c>
      <c r="D68" s="20" t="s">
        <v>262</v>
      </c>
      <c r="E68" s="28" t="s">
        <v>264</v>
      </c>
      <c r="F68" s="23">
        <v>60</v>
      </c>
      <c r="G68" s="22"/>
    </row>
    <row r="69" spans="1:7" ht="25.05" customHeight="1">
      <c r="A69" s="20">
        <v>67</v>
      </c>
      <c r="B69" s="21" t="s">
        <v>127</v>
      </c>
      <c r="C69" s="21" t="s">
        <v>130</v>
      </c>
      <c r="D69" s="20" t="s">
        <v>262</v>
      </c>
      <c r="E69" s="28" t="s">
        <v>265</v>
      </c>
      <c r="F69" s="23">
        <v>60</v>
      </c>
      <c r="G69" s="22"/>
    </row>
    <row r="70" spans="1:7" ht="25.05" customHeight="1">
      <c r="A70" s="20">
        <v>68</v>
      </c>
      <c r="B70" s="21" t="s">
        <v>127</v>
      </c>
      <c r="C70" s="21" t="s">
        <v>130</v>
      </c>
      <c r="D70" s="17" t="s">
        <v>219</v>
      </c>
      <c r="E70" s="35" t="s">
        <v>266</v>
      </c>
      <c r="F70" s="37">
        <f>SUM(F67:F69)</f>
        <v>420</v>
      </c>
      <c r="G70" s="36"/>
    </row>
    <row r="71" spans="1:7" ht="25.05" customHeight="1">
      <c r="A71" s="20">
        <v>69</v>
      </c>
      <c r="B71" s="21" t="s">
        <v>127</v>
      </c>
      <c r="C71" s="21" t="s">
        <v>130</v>
      </c>
      <c r="D71" s="17" t="s">
        <v>267</v>
      </c>
      <c r="E71" s="35" t="s">
        <v>726</v>
      </c>
      <c r="F71" s="35">
        <v>4440</v>
      </c>
      <c r="G71" s="36"/>
    </row>
    <row r="72" spans="1:7" ht="25.05" customHeight="1">
      <c r="A72" s="231" t="s">
        <v>727</v>
      </c>
      <c r="B72" s="232"/>
      <c r="C72" s="232"/>
      <c r="D72" s="232"/>
      <c r="E72" s="232"/>
      <c r="F72" s="232"/>
      <c r="G72" s="233"/>
    </row>
  </sheetData>
  <autoFilter ref="A3:G72" xr:uid="{00000000-0009-0000-0000-000028000000}"/>
  <mergeCells count="3">
    <mergeCell ref="A1:G1"/>
    <mergeCell ref="A2:G2"/>
    <mergeCell ref="A72:G72"/>
  </mergeCells>
  <phoneticPr fontId="23" type="noConversion"/>
  <printOptions horizontalCentered="1"/>
  <pageMargins left="0.59055118110236204" right="0.196850393700787" top="0.27559055118110198" bottom="0.511811023622047" header="0.27559055118110198" footer="0.27559055118110198"/>
  <pageSetup paperSize="9" scale="89" fitToHeight="0" orientation="portrait" r:id="rId1"/>
  <headerFooter>
    <oddFooter>&amp;C&amp;8第 &amp;P 页，共 &amp;N 页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G70"/>
  <sheetViews>
    <sheetView view="pageBreakPreview" zoomScale="115" zoomScaleNormal="100" workbookViewId="0">
      <selection activeCell="L10" sqref="L10"/>
    </sheetView>
  </sheetViews>
  <sheetFormatPr defaultColWidth="9" defaultRowHeight="15.75"/>
  <cols>
    <col min="1" max="1" width="4.06640625" style="1" customWidth="1"/>
    <col min="2" max="2" width="9.33203125" style="2" customWidth="1"/>
    <col min="3" max="3" width="14.06640625" style="1" customWidth="1"/>
    <col min="4" max="4" width="12.796875" style="1" customWidth="1"/>
    <col min="5" max="5" width="42.265625" style="1" customWidth="1"/>
    <col min="6" max="6" width="7.06640625" style="1" customWidth="1"/>
    <col min="7" max="7" width="6.59765625" style="1" customWidth="1"/>
  </cols>
  <sheetData>
    <row r="1" spans="1:7" ht="25.05" customHeight="1">
      <c r="A1" s="215" t="s">
        <v>728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729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133</v>
      </c>
      <c r="C4" s="6" t="s">
        <v>730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133</v>
      </c>
      <c r="C5" s="6" t="s">
        <v>730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133</v>
      </c>
      <c r="C6" s="6" t="s">
        <v>730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133</v>
      </c>
      <c r="C7" s="6" t="s">
        <v>730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133</v>
      </c>
      <c r="C8" s="6" t="s">
        <v>730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133</v>
      </c>
      <c r="C9" s="6" t="s">
        <v>730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133</v>
      </c>
      <c r="C10" s="6" t="s">
        <v>730</v>
      </c>
      <c r="D10" s="6" t="s">
        <v>209</v>
      </c>
      <c r="E10" s="8" t="s">
        <v>216</v>
      </c>
      <c r="F10" s="8">
        <v>30</v>
      </c>
      <c r="G10" s="8"/>
    </row>
    <row r="11" spans="1:7" ht="25.05" customHeight="1">
      <c r="A11" s="6">
        <v>8</v>
      </c>
      <c r="B11" s="7" t="s">
        <v>133</v>
      </c>
      <c r="C11" s="6" t="s">
        <v>730</v>
      </c>
      <c r="D11" s="6" t="s">
        <v>209</v>
      </c>
      <c r="E11" s="8" t="s">
        <v>292</v>
      </c>
      <c r="F11" s="8">
        <v>12</v>
      </c>
      <c r="G11" s="8"/>
    </row>
    <row r="12" spans="1:7" ht="25.05" customHeight="1">
      <c r="A12" s="6">
        <v>9</v>
      </c>
      <c r="B12" s="7" t="s">
        <v>133</v>
      </c>
      <c r="C12" s="6" t="s">
        <v>730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133</v>
      </c>
      <c r="C13" s="6" t="s">
        <v>730</v>
      </c>
      <c r="D13" s="6" t="s">
        <v>209</v>
      </c>
      <c r="E13" s="8" t="s">
        <v>400</v>
      </c>
      <c r="F13" s="8">
        <v>10</v>
      </c>
      <c r="G13" s="8"/>
    </row>
    <row r="14" spans="1:7" ht="25.05" customHeight="1">
      <c r="A14" s="6">
        <v>11</v>
      </c>
      <c r="B14" s="7" t="s">
        <v>133</v>
      </c>
      <c r="C14" s="6" t="s">
        <v>730</v>
      </c>
      <c r="D14" s="3" t="s">
        <v>219</v>
      </c>
      <c r="E14" s="9" t="s">
        <v>220</v>
      </c>
      <c r="F14" s="9">
        <f>SUM(F4:F13)</f>
        <v>245</v>
      </c>
      <c r="G14" s="9"/>
    </row>
    <row r="15" spans="1:7" ht="25.05" customHeight="1">
      <c r="A15" s="6">
        <v>12</v>
      </c>
      <c r="B15" s="7" t="s">
        <v>133</v>
      </c>
      <c r="C15" s="6" t="s">
        <v>730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133</v>
      </c>
      <c r="C16" s="6" t="s">
        <v>730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133</v>
      </c>
      <c r="C17" s="6" t="s">
        <v>730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133</v>
      </c>
      <c r="C18" s="6" t="s">
        <v>730</v>
      </c>
      <c r="D18" s="6" t="s">
        <v>401</v>
      </c>
      <c r="E18" s="8" t="s">
        <v>405</v>
      </c>
      <c r="F18" s="8">
        <v>50</v>
      </c>
      <c r="G18" s="8"/>
    </row>
    <row r="19" spans="1:7" ht="25.05" customHeight="1">
      <c r="A19" s="6">
        <v>16</v>
      </c>
      <c r="B19" s="7" t="s">
        <v>133</v>
      </c>
      <c r="C19" s="6" t="s">
        <v>730</v>
      </c>
      <c r="D19" s="6" t="s">
        <v>401</v>
      </c>
      <c r="E19" s="8" t="s">
        <v>406</v>
      </c>
      <c r="F19" s="8">
        <v>20</v>
      </c>
      <c r="G19" s="8"/>
    </row>
    <row r="20" spans="1:7" ht="25.05" customHeight="1">
      <c r="A20" s="6">
        <v>17</v>
      </c>
      <c r="B20" s="7" t="s">
        <v>133</v>
      </c>
      <c r="C20" s="6" t="s">
        <v>730</v>
      </c>
      <c r="D20" s="6" t="s">
        <v>401</v>
      </c>
      <c r="E20" s="8" t="s">
        <v>407</v>
      </c>
      <c r="F20" s="8">
        <v>200</v>
      </c>
      <c r="G20" s="8"/>
    </row>
    <row r="21" spans="1:7" ht="25.05" customHeight="1">
      <c r="A21" s="6">
        <v>18</v>
      </c>
      <c r="B21" s="7" t="s">
        <v>133</v>
      </c>
      <c r="C21" s="6" t="s">
        <v>730</v>
      </c>
      <c r="D21" s="6" t="s">
        <v>401</v>
      </c>
      <c r="E21" s="8" t="s">
        <v>408</v>
      </c>
      <c r="F21" s="8">
        <v>16</v>
      </c>
      <c r="G21" s="8"/>
    </row>
    <row r="22" spans="1:7" ht="25.05" customHeight="1">
      <c r="A22" s="6">
        <v>19</v>
      </c>
      <c r="B22" s="7" t="s">
        <v>133</v>
      </c>
      <c r="C22" s="6" t="s">
        <v>730</v>
      </c>
      <c r="D22" s="3" t="s">
        <v>219</v>
      </c>
      <c r="E22" s="9" t="s">
        <v>409</v>
      </c>
      <c r="F22" s="9">
        <f>SUM(F15:F21)</f>
        <v>494</v>
      </c>
      <c r="G22" s="9"/>
    </row>
    <row r="23" spans="1:7" ht="25.05" customHeight="1">
      <c r="A23" s="6">
        <v>20</v>
      </c>
      <c r="B23" s="7" t="s">
        <v>133</v>
      </c>
      <c r="C23" s="6" t="s">
        <v>730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133</v>
      </c>
      <c r="C24" s="6" t="s">
        <v>730</v>
      </c>
      <c r="D24" s="6" t="s">
        <v>221</v>
      </c>
      <c r="E24" s="8" t="s">
        <v>731</v>
      </c>
      <c r="F24" s="8">
        <v>42</v>
      </c>
      <c r="G24" s="8"/>
    </row>
    <row r="25" spans="1:7" ht="25.05" customHeight="1">
      <c r="A25" s="6">
        <v>22</v>
      </c>
      <c r="B25" s="7" t="s">
        <v>133</v>
      </c>
      <c r="C25" s="6" t="s">
        <v>730</v>
      </c>
      <c r="D25" s="6" t="s">
        <v>221</v>
      </c>
      <c r="E25" s="8" t="s">
        <v>224</v>
      </c>
      <c r="F25" s="8">
        <v>12</v>
      </c>
      <c r="G25" s="8"/>
    </row>
    <row r="26" spans="1:7" ht="25.05" customHeight="1">
      <c r="A26" s="6">
        <v>23</v>
      </c>
      <c r="B26" s="7" t="s">
        <v>133</v>
      </c>
      <c r="C26" s="6" t="s">
        <v>730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133</v>
      </c>
      <c r="C27" s="6" t="s">
        <v>730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133</v>
      </c>
      <c r="C28" s="6" t="s">
        <v>730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133</v>
      </c>
      <c r="C29" s="6" t="s">
        <v>730</v>
      </c>
      <c r="D29" s="3" t="s">
        <v>219</v>
      </c>
      <c r="E29" s="9" t="s">
        <v>228</v>
      </c>
      <c r="F29" s="10">
        <f>SUM(F23:F28)</f>
        <v>130</v>
      </c>
      <c r="G29" s="9"/>
    </row>
    <row r="30" spans="1:7" ht="25.05" customHeight="1">
      <c r="A30" s="6">
        <v>27</v>
      </c>
      <c r="B30" s="7" t="s">
        <v>133</v>
      </c>
      <c r="C30" s="6" t="s">
        <v>730</v>
      </c>
      <c r="D30" s="6" t="s">
        <v>229</v>
      </c>
      <c r="E30" s="8" t="s">
        <v>230</v>
      </c>
      <c r="F30" s="8">
        <v>14</v>
      </c>
      <c r="G30" s="8"/>
    </row>
    <row r="31" spans="1:7" ht="25.05" customHeight="1">
      <c r="A31" s="6">
        <v>28</v>
      </c>
      <c r="B31" s="7" t="s">
        <v>133</v>
      </c>
      <c r="C31" s="6" t="s">
        <v>730</v>
      </c>
      <c r="D31" s="6" t="s">
        <v>229</v>
      </c>
      <c r="E31" s="8" t="s">
        <v>732</v>
      </c>
      <c r="F31" s="8">
        <v>65</v>
      </c>
      <c r="G31" s="8"/>
    </row>
    <row r="32" spans="1:7" ht="25.05" customHeight="1">
      <c r="A32" s="6">
        <v>29</v>
      </c>
      <c r="B32" s="7" t="s">
        <v>133</v>
      </c>
      <c r="C32" s="6" t="s">
        <v>730</v>
      </c>
      <c r="D32" s="6" t="s">
        <v>229</v>
      </c>
      <c r="E32" s="8" t="s">
        <v>412</v>
      </c>
      <c r="F32" s="8">
        <v>50</v>
      </c>
      <c r="G32" s="8"/>
    </row>
    <row r="33" spans="1:7" ht="25.05" customHeight="1">
      <c r="A33" s="6">
        <v>30</v>
      </c>
      <c r="B33" s="7" t="s">
        <v>133</v>
      </c>
      <c r="C33" s="6" t="s">
        <v>730</v>
      </c>
      <c r="D33" s="6" t="s">
        <v>229</v>
      </c>
      <c r="E33" s="8" t="s">
        <v>414</v>
      </c>
      <c r="F33" s="8">
        <v>30</v>
      </c>
      <c r="G33" s="8"/>
    </row>
    <row r="34" spans="1:7" ht="25.05" customHeight="1">
      <c r="A34" s="6">
        <v>31</v>
      </c>
      <c r="B34" s="7" t="s">
        <v>133</v>
      </c>
      <c r="C34" s="6" t="s">
        <v>730</v>
      </c>
      <c r="D34" s="6" t="s">
        <v>229</v>
      </c>
      <c r="E34" s="8" t="s">
        <v>415</v>
      </c>
      <c r="F34" s="8">
        <v>120</v>
      </c>
      <c r="G34" s="8"/>
    </row>
    <row r="35" spans="1:7" ht="25.05" customHeight="1">
      <c r="A35" s="6">
        <v>32</v>
      </c>
      <c r="B35" s="7" t="s">
        <v>133</v>
      </c>
      <c r="C35" s="6" t="s">
        <v>730</v>
      </c>
      <c r="D35" s="6" t="s">
        <v>229</v>
      </c>
      <c r="E35" s="8" t="s">
        <v>416</v>
      </c>
      <c r="F35" s="8">
        <v>8</v>
      </c>
      <c r="G35" s="8"/>
    </row>
    <row r="36" spans="1:7" ht="25.05" customHeight="1">
      <c r="A36" s="6">
        <v>33</v>
      </c>
      <c r="B36" s="7" t="s">
        <v>133</v>
      </c>
      <c r="C36" s="6" t="s">
        <v>730</v>
      </c>
      <c r="D36" s="3" t="s">
        <v>219</v>
      </c>
      <c r="E36" s="9" t="s">
        <v>238</v>
      </c>
      <c r="F36" s="10">
        <f>SUM(F30:F35)</f>
        <v>287</v>
      </c>
      <c r="G36" s="9"/>
    </row>
    <row r="37" spans="1:7" ht="25.05" customHeight="1">
      <c r="A37" s="6">
        <v>34</v>
      </c>
      <c r="B37" s="7" t="s">
        <v>133</v>
      </c>
      <c r="C37" s="6" t="s">
        <v>730</v>
      </c>
      <c r="D37" s="6" t="s">
        <v>239</v>
      </c>
      <c r="E37" s="8" t="s">
        <v>240</v>
      </c>
      <c r="F37" s="8">
        <v>80</v>
      </c>
      <c r="G37" s="8"/>
    </row>
    <row r="38" spans="1:7" ht="25.05" customHeight="1">
      <c r="A38" s="6">
        <v>35</v>
      </c>
      <c r="B38" s="7" t="s">
        <v>133</v>
      </c>
      <c r="C38" s="6" t="s">
        <v>730</v>
      </c>
      <c r="D38" s="6" t="s">
        <v>239</v>
      </c>
      <c r="E38" s="8" t="s">
        <v>241</v>
      </c>
      <c r="F38" s="8">
        <v>70</v>
      </c>
      <c r="G38" s="8"/>
    </row>
    <row r="39" spans="1:7" ht="25.05" customHeight="1">
      <c r="A39" s="6">
        <v>36</v>
      </c>
      <c r="B39" s="7" t="s">
        <v>133</v>
      </c>
      <c r="C39" s="6" t="s">
        <v>730</v>
      </c>
      <c r="D39" s="3" t="s">
        <v>219</v>
      </c>
      <c r="E39" s="9" t="s">
        <v>242</v>
      </c>
      <c r="F39" s="9">
        <f>SUM(F37:F38)</f>
        <v>150</v>
      </c>
      <c r="G39" s="9"/>
    </row>
    <row r="40" spans="1:7" ht="25.05" customHeight="1">
      <c r="A40" s="6">
        <v>37</v>
      </c>
      <c r="B40" s="7" t="s">
        <v>133</v>
      </c>
      <c r="C40" s="6" t="s">
        <v>730</v>
      </c>
      <c r="D40" s="6" t="s">
        <v>259</v>
      </c>
      <c r="E40" s="8" t="s">
        <v>733</v>
      </c>
      <c r="F40" s="8">
        <v>420</v>
      </c>
      <c r="G40" s="8"/>
    </row>
    <row r="41" spans="1:7" ht="25.05" customHeight="1">
      <c r="A41" s="6">
        <v>38</v>
      </c>
      <c r="B41" s="7" t="s">
        <v>133</v>
      </c>
      <c r="C41" s="6" t="s">
        <v>730</v>
      </c>
      <c r="D41" s="6" t="s">
        <v>259</v>
      </c>
      <c r="E41" s="8" t="s">
        <v>734</v>
      </c>
      <c r="F41" s="8">
        <v>42</v>
      </c>
      <c r="G41" s="8"/>
    </row>
    <row r="42" spans="1:7" ht="25.05" customHeight="1">
      <c r="A42" s="6">
        <v>39</v>
      </c>
      <c r="B42" s="7" t="s">
        <v>133</v>
      </c>
      <c r="C42" s="6" t="s">
        <v>730</v>
      </c>
      <c r="D42" s="6" t="s">
        <v>259</v>
      </c>
      <c r="E42" s="11" t="s">
        <v>735</v>
      </c>
      <c r="F42" s="8">
        <v>60</v>
      </c>
      <c r="G42" s="8"/>
    </row>
    <row r="43" spans="1:7" ht="25.05" customHeight="1">
      <c r="A43" s="6">
        <v>40</v>
      </c>
      <c r="B43" s="7" t="s">
        <v>133</v>
      </c>
      <c r="C43" s="6" t="s">
        <v>730</v>
      </c>
      <c r="D43" s="3" t="s">
        <v>219</v>
      </c>
      <c r="E43" s="9" t="s">
        <v>261</v>
      </c>
      <c r="F43" s="9">
        <f>SUM(F40:F42)</f>
        <v>522</v>
      </c>
      <c r="G43" s="9"/>
    </row>
    <row r="44" spans="1:7" ht="25.05" customHeight="1">
      <c r="A44" s="6">
        <v>41</v>
      </c>
      <c r="B44" s="7" t="s">
        <v>133</v>
      </c>
      <c r="C44" s="6" t="s">
        <v>730</v>
      </c>
      <c r="D44" s="6" t="s">
        <v>243</v>
      </c>
      <c r="E44" s="8" t="s">
        <v>736</v>
      </c>
      <c r="F44" s="8">
        <v>6.6</v>
      </c>
      <c r="G44" s="8"/>
    </row>
    <row r="45" spans="1:7" ht="25.05" customHeight="1">
      <c r="A45" s="6">
        <v>42</v>
      </c>
      <c r="B45" s="7" t="s">
        <v>133</v>
      </c>
      <c r="C45" s="6" t="s">
        <v>730</v>
      </c>
      <c r="D45" s="6" t="s">
        <v>243</v>
      </c>
      <c r="E45" s="8" t="s">
        <v>737</v>
      </c>
      <c r="F45" s="8">
        <v>6.6</v>
      </c>
      <c r="G45" s="8"/>
    </row>
    <row r="46" spans="1:7" ht="25.05" customHeight="1">
      <c r="A46" s="6">
        <v>43</v>
      </c>
      <c r="B46" s="7" t="s">
        <v>133</v>
      </c>
      <c r="C46" s="6" t="s">
        <v>730</v>
      </c>
      <c r="D46" s="6" t="s">
        <v>243</v>
      </c>
      <c r="E46" s="8" t="s">
        <v>738</v>
      </c>
      <c r="F46" s="8">
        <v>14.4</v>
      </c>
      <c r="G46" s="8"/>
    </row>
    <row r="47" spans="1:7" ht="25.05" customHeight="1">
      <c r="A47" s="6">
        <v>44</v>
      </c>
      <c r="B47" s="7" t="s">
        <v>133</v>
      </c>
      <c r="C47" s="6" t="s">
        <v>730</v>
      </c>
      <c r="D47" s="6" t="s">
        <v>243</v>
      </c>
      <c r="E47" s="8" t="s">
        <v>423</v>
      </c>
      <c r="F47" s="8">
        <v>2</v>
      </c>
      <c r="G47" s="8"/>
    </row>
    <row r="48" spans="1:7" ht="25.05" customHeight="1">
      <c r="A48" s="6">
        <v>45</v>
      </c>
      <c r="B48" s="7" t="s">
        <v>133</v>
      </c>
      <c r="C48" s="6" t="s">
        <v>730</v>
      </c>
      <c r="D48" s="3" t="s">
        <v>219</v>
      </c>
      <c r="E48" s="9" t="s">
        <v>248</v>
      </c>
      <c r="F48" s="9">
        <f>SUM(F44:F47)</f>
        <v>29.6</v>
      </c>
      <c r="G48" s="9"/>
    </row>
    <row r="49" spans="1:7" ht="25.05" customHeight="1">
      <c r="A49" s="6">
        <v>46</v>
      </c>
      <c r="B49" s="7" t="s">
        <v>133</v>
      </c>
      <c r="C49" s="6" t="s">
        <v>730</v>
      </c>
      <c r="D49" s="6" t="s">
        <v>249</v>
      </c>
      <c r="E49" s="8" t="s">
        <v>490</v>
      </c>
      <c r="F49" s="8">
        <v>6</v>
      </c>
      <c r="G49" s="8"/>
    </row>
    <row r="50" spans="1:7" ht="25.05" customHeight="1">
      <c r="A50" s="6">
        <v>47</v>
      </c>
      <c r="B50" s="7" t="s">
        <v>133</v>
      </c>
      <c r="C50" s="6" t="s">
        <v>730</v>
      </c>
      <c r="D50" s="6" t="s">
        <v>249</v>
      </c>
      <c r="E50" s="8" t="s">
        <v>491</v>
      </c>
      <c r="F50" s="8">
        <v>6</v>
      </c>
      <c r="G50" s="8"/>
    </row>
    <row r="51" spans="1:7" ht="25.05" customHeight="1">
      <c r="A51" s="6">
        <v>48</v>
      </c>
      <c r="B51" s="7" t="s">
        <v>133</v>
      </c>
      <c r="C51" s="6" t="s">
        <v>730</v>
      </c>
      <c r="D51" s="6" t="s">
        <v>249</v>
      </c>
      <c r="E51" s="8" t="s">
        <v>739</v>
      </c>
      <c r="F51" s="8">
        <v>36</v>
      </c>
      <c r="G51" s="8"/>
    </row>
    <row r="52" spans="1:7" ht="25.05" customHeight="1">
      <c r="A52" s="6">
        <v>49</v>
      </c>
      <c r="B52" s="7" t="s">
        <v>133</v>
      </c>
      <c r="C52" s="6" t="s">
        <v>730</v>
      </c>
      <c r="D52" s="6" t="s">
        <v>249</v>
      </c>
      <c r="E52" s="8" t="s">
        <v>493</v>
      </c>
      <c r="F52" s="8">
        <v>6</v>
      </c>
      <c r="G52" s="8"/>
    </row>
    <row r="53" spans="1:7" ht="25.05" customHeight="1">
      <c r="A53" s="6">
        <v>50</v>
      </c>
      <c r="B53" s="7" t="s">
        <v>133</v>
      </c>
      <c r="C53" s="6" t="s">
        <v>730</v>
      </c>
      <c r="D53" s="3" t="s">
        <v>219</v>
      </c>
      <c r="E53" s="9" t="s">
        <v>255</v>
      </c>
      <c r="F53" s="9">
        <f>SUM(F49:F52)</f>
        <v>54</v>
      </c>
      <c r="G53" s="9"/>
    </row>
    <row r="54" spans="1:7" ht="25.05" customHeight="1">
      <c r="A54" s="6">
        <v>51</v>
      </c>
      <c r="B54" s="7" t="s">
        <v>133</v>
      </c>
      <c r="C54" s="6" t="s">
        <v>730</v>
      </c>
      <c r="D54" s="6" t="s">
        <v>259</v>
      </c>
      <c r="E54" s="8" t="s">
        <v>740</v>
      </c>
      <c r="F54" s="8">
        <v>5</v>
      </c>
      <c r="G54" s="8"/>
    </row>
    <row r="55" spans="1:7" ht="25.05" customHeight="1">
      <c r="A55" s="6">
        <v>52</v>
      </c>
      <c r="B55" s="7" t="s">
        <v>133</v>
      </c>
      <c r="C55" s="6" t="s">
        <v>730</v>
      </c>
      <c r="D55" s="3" t="s">
        <v>219</v>
      </c>
      <c r="E55" s="9" t="s">
        <v>261</v>
      </c>
      <c r="F55" s="9">
        <f>SUM(F54)</f>
        <v>5</v>
      </c>
      <c r="G55" s="9"/>
    </row>
    <row r="56" spans="1:7" ht="25.05" customHeight="1">
      <c r="A56" s="6">
        <v>53</v>
      </c>
      <c r="B56" s="7" t="s">
        <v>133</v>
      </c>
      <c r="C56" s="6" t="s">
        <v>730</v>
      </c>
      <c r="D56" s="6" t="s">
        <v>256</v>
      </c>
      <c r="E56" s="8" t="s">
        <v>741</v>
      </c>
      <c r="F56" s="8">
        <v>5</v>
      </c>
      <c r="G56" s="8"/>
    </row>
    <row r="57" spans="1:7" ht="25.05" customHeight="1">
      <c r="A57" s="6">
        <v>54</v>
      </c>
      <c r="B57" s="7" t="s">
        <v>133</v>
      </c>
      <c r="C57" s="6" t="s">
        <v>730</v>
      </c>
      <c r="D57" s="6" t="s">
        <v>256</v>
      </c>
      <c r="E57" s="11" t="s">
        <v>742</v>
      </c>
      <c r="F57" s="104">
        <v>25</v>
      </c>
      <c r="G57" s="8"/>
    </row>
    <row r="58" spans="1:7" ht="25.05" customHeight="1">
      <c r="A58" s="6">
        <v>55</v>
      </c>
      <c r="B58" s="7" t="s">
        <v>133</v>
      </c>
      <c r="C58" s="6" t="s">
        <v>730</v>
      </c>
      <c r="D58" s="6" t="s">
        <v>256</v>
      </c>
      <c r="E58" s="11" t="s">
        <v>743</v>
      </c>
      <c r="F58" s="104">
        <v>5</v>
      </c>
      <c r="G58" s="8"/>
    </row>
    <row r="59" spans="1:7" ht="25.05" customHeight="1">
      <c r="A59" s="6">
        <v>56</v>
      </c>
      <c r="B59" s="7" t="s">
        <v>133</v>
      </c>
      <c r="C59" s="6" t="s">
        <v>730</v>
      </c>
      <c r="D59" s="3" t="s">
        <v>219</v>
      </c>
      <c r="E59" s="9" t="s">
        <v>258</v>
      </c>
      <c r="F59" s="9">
        <f>SUM(F56:F58)</f>
        <v>35</v>
      </c>
      <c r="G59" s="9"/>
    </row>
    <row r="60" spans="1:7" ht="25.05" customHeight="1">
      <c r="A60" s="6">
        <v>57</v>
      </c>
      <c r="B60" s="7" t="s">
        <v>133</v>
      </c>
      <c r="C60" s="6" t="s">
        <v>730</v>
      </c>
      <c r="D60" s="6" t="s">
        <v>262</v>
      </c>
      <c r="E60" s="8" t="s">
        <v>425</v>
      </c>
      <c r="F60" s="8">
        <v>255</v>
      </c>
      <c r="G60" s="8"/>
    </row>
    <row r="61" spans="1:7" ht="25.05" customHeight="1">
      <c r="A61" s="6">
        <v>58</v>
      </c>
      <c r="B61" s="7" t="s">
        <v>133</v>
      </c>
      <c r="C61" s="6" t="s">
        <v>730</v>
      </c>
      <c r="D61" s="6" t="s">
        <v>262</v>
      </c>
      <c r="E61" s="8" t="s">
        <v>264</v>
      </c>
      <c r="F61" s="8">
        <v>40</v>
      </c>
      <c r="G61" s="8"/>
    </row>
    <row r="62" spans="1:7" ht="25.05" customHeight="1">
      <c r="A62" s="6">
        <v>59</v>
      </c>
      <c r="B62" s="7" t="s">
        <v>133</v>
      </c>
      <c r="C62" s="6" t="s">
        <v>730</v>
      </c>
      <c r="D62" s="6" t="s">
        <v>262</v>
      </c>
      <c r="E62" s="8" t="s">
        <v>265</v>
      </c>
      <c r="F62" s="8">
        <v>40</v>
      </c>
      <c r="G62" s="8"/>
    </row>
    <row r="63" spans="1:7" ht="25.05" customHeight="1">
      <c r="A63" s="6">
        <v>60</v>
      </c>
      <c r="B63" s="7" t="s">
        <v>133</v>
      </c>
      <c r="C63" s="6" t="s">
        <v>730</v>
      </c>
      <c r="D63" s="3" t="s">
        <v>219</v>
      </c>
      <c r="E63" s="9" t="s">
        <v>266</v>
      </c>
      <c r="F63" s="9">
        <f>SUM(F60:F62)</f>
        <v>335</v>
      </c>
      <c r="G63" s="9"/>
    </row>
    <row r="64" spans="1:7" ht="25.05" customHeight="1">
      <c r="A64" s="6">
        <v>61</v>
      </c>
      <c r="B64" s="7" t="s">
        <v>133</v>
      </c>
      <c r="C64" s="6" t="s">
        <v>730</v>
      </c>
      <c r="D64" s="3" t="s">
        <v>267</v>
      </c>
      <c r="E64" s="10" t="s">
        <v>744</v>
      </c>
      <c r="F64" s="10">
        <v>2287</v>
      </c>
      <c r="G64" s="9"/>
    </row>
    <row r="65" spans="1:7" ht="25.05" customHeight="1">
      <c r="A65" s="220" t="s">
        <v>745</v>
      </c>
      <c r="B65" s="221"/>
      <c r="C65" s="221"/>
      <c r="D65" s="221"/>
      <c r="E65" s="221"/>
      <c r="F65" s="221"/>
      <c r="G65" s="222"/>
    </row>
    <row r="66" spans="1:7" ht="24" customHeight="1"/>
    <row r="67" spans="1:7" ht="24" customHeight="1"/>
    <row r="68" spans="1:7" ht="24" customHeight="1"/>
    <row r="69" spans="1:7" ht="24" customHeight="1"/>
    <row r="70" spans="1:7" ht="24" customHeight="1"/>
  </sheetData>
  <autoFilter ref="A3:G65" xr:uid="{00000000-0009-0000-0000-000029000000}"/>
  <mergeCells count="3">
    <mergeCell ref="A1:G1"/>
    <mergeCell ref="A2:G2"/>
    <mergeCell ref="A65:G65"/>
  </mergeCells>
  <phoneticPr fontId="23" type="noConversion"/>
  <pageMargins left="0.59055118110236204" right="0.196850393700787" top="0.31496062992126" bottom="0.511811023622047" header="0.31496062992126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G79"/>
  <sheetViews>
    <sheetView view="pageBreakPreview" topLeftCell="A70" zoomScale="115" zoomScaleNormal="100" workbookViewId="0">
      <selection activeCell="F77" sqref="F77"/>
    </sheetView>
  </sheetViews>
  <sheetFormatPr defaultColWidth="9" defaultRowHeight="15.75"/>
  <cols>
    <col min="1" max="1" width="4.06640625" style="1" customWidth="1"/>
    <col min="2" max="2" width="10.33203125" style="2" customWidth="1"/>
    <col min="3" max="3" width="13.73046875" style="1" customWidth="1"/>
    <col min="4" max="4" width="11.19921875" style="1" customWidth="1"/>
    <col min="5" max="5" width="44" style="1" customWidth="1"/>
    <col min="6" max="6" width="6.19921875" style="1" customWidth="1"/>
    <col min="7" max="7" width="7.19921875" style="1" customWidth="1"/>
  </cols>
  <sheetData>
    <row r="1" spans="1:7" ht="25.05" customHeight="1">
      <c r="A1" s="215" t="s">
        <v>746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747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133</v>
      </c>
      <c r="C4" s="6" t="s">
        <v>748</v>
      </c>
      <c r="D4" s="6" t="s">
        <v>209</v>
      </c>
      <c r="E4" s="8" t="s">
        <v>614</v>
      </c>
      <c r="F4" s="8">
        <v>38</v>
      </c>
      <c r="G4" s="8"/>
    </row>
    <row r="5" spans="1:7" ht="25.05" customHeight="1">
      <c r="A5" s="6">
        <v>2</v>
      </c>
      <c r="B5" s="7" t="s">
        <v>133</v>
      </c>
      <c r="C5" s="6" t="s">
        <v>748</v>
      </c>
      <c r="D5" s="6" t="s">
        <v>209</v>
      </c>
      <c r="E5" s="8" t="s">
        <v>615</v>
      </c>
      <c r="F5" s="8">
        <v>30</v>
      </c>
      <c r="G5" s="8"/>
    </row>
    <row r="6" spans="1:7" ht="25.05" customHeight="1">
      <c r="A6" s="6">
        <v>3</v>
      </c>
      <c r="B6" s="7" t="s">
        <v>133</v>
      </c>
      <c r="C6" s="6" t="s">
        <v>748</v>
      </c>
      <c r="D6" s="6" t="s">
        <v>209</v>
      </c>
      <c r="E6" s="8" t="s">
        <v>749</v>
      </c>
      <c r="F6" s="8">
        <v>68</v>
      </c>
      <c r="G6" s="8"/>
    </row>
    <row r="7" spans="1:7" ht="25.05" customHeight="1">
      <c r="A7" s="6">
        <v>4</v>
      </c>
      <c r="B7" s="7" t="s">
        <v>133</v>
      </c>
      <c r="C7" s="6" t="s">
        <v>748</v>
      </c>
      <c r="D7" s="6" t="s">
        <v>209</v>
      </c>
      <c r="E7" s="8" t="s">
        <v>750</v>
      </c>
      <c r="F7" s="8">
        <v>68</v>
      </c>
      <c r="G7" s="8"/>
    </row>
    <row r="8" spans="1:7" ht="25.05" customHeight="1">
      <c r="A8" s="6">
        <v>5</v>
      </c>
      <c r="B8" s="7" t="s">
        <v>133</v>
      </c>
      <c r="C8" s="6" t="s">
        <v>748</v>
      </c>
      <c r="D8" s="6" t="s">
        <v>209</v>
      </c>
      <c r="E8" s="8" t="s">
        <v>751</v>
      </c>
      <c r="F8" s="8">
        <v>52</v>
      </c>
      <c r="G8" s="8"/>
    </row>
    <row r="9" spans="1:7" ht="25.05" customHeight="1">
      <c r="A9" s="6">
        <v>6</v>
      </c>
      <c r="B9" s="7" t="s">
        <v>133</v>
      </c>
      <c r="C9" s="6" t="s">
        <v>748</v>
      </c>
      <c r="D9" s="6" t="s">
        <v>209</v>
      </c>
      <c r="E9" s="8" t="s">
        <v>617</v>
      </c>
      <c r="F9" s="8">
        <v>20</v>
      </c>
      <c r="G9" s="8"/>
    </row>
    <row r="10" spans="1:7" ht="25.05" customHeight="1">
      <c r="A10" s="6">
        <v>7</v>
      </c>
      <c r="B10" s="7" t="s">
        <v>133</v>
      </c>
      <c r="C10" s="6" t="s">
        <v>748</v>
      </c>
      <c r="D10" s="6" t="s">
        <v>209</v>
      </c>
      <c r="E10" s="8" t="s">
        <v>618</v>
      </c>
      <c r="F10" s="8">
        <v>50</v>
      </c>
      <c r="G10" s="8"/>
    </row>
    <row r="11" spans="1:7" ht="25.05" customHeight="1">
      <c r="A11" s="6">
        <v>8</v>
      </c>
      <c r="B11" s="7" t="s">
        <v>133</v>
      </c>
      <c r="C11" s="6" t="s">
        <v>748</v>
      </c>
      <c r="D11" s="6" t="s">
        <v>209</v>
      </c>
      <c r="E11" s="8" t="s">
        <v>619</v>
      </c>
      <c r="F11" s="8">
        <v>36</v>
      </c>
      <c r="G11" s="8"/>
    </row>
    <row r="12" spans="1:7" ht="25.05" customHeight="1">
      <c r="A12" s="6">
        <v>9</v>
      </c>
      <c r="B12" s="7" t="s">
        <v>133</v>
      </c>
      <c r="C12" s="6" t="s">
        <v>748</v>
      </c>
      <c r="D12" s="6" t="s">
        <v>209</v>
      </c>
      <c r="E12" s="8" t="s">
        <v>752</v>
      </c>
      <c r="F12" s="8">
        <v>120</v>
      </c>
      <c r="G12" s="8"/>
    </row>
    <row r="13" spans="1:7" ht="25.05" customHeight="1">
      <c r="A13" s="6">
        <v>10</v>
      </c>
      <c r="B13" s="7" t="s">
        <v>133</v>
      </c>
      <c r="C13" s="6" t="s">
        <v>748</v>
      </c>
      <c r="D13" s="6" t="s">
        <v>209</v>
      </c>
      <c r="E13" s="8" t="s">
        <v>753</v>
      </c>
      <c r="F13" s="8">
        <v>20</v>
      </c>
      <c r="G13" s="8"/>
    </row>
    <row r="14" spans="1:7" ht="25.05" customHeight="1">
      <c r="A14" s="6">
        <v>11</v>
      </c>
      <c r="B14" s="7" t="s">
        <v>133</v>
      </c>
      <c r="C14" s="6" t="s">
        <v>748</v>
      </c>
      <c r="D14" s="3" t="s">
        <v>219</v>
      </c>
      <c r="E14" s="9" t="s">
        <v>220</v>
      </c>
      <c r="F14" s="9">
        <f>SUM(F4:F13)</f>
        <v>502</v>
      </c>
      <c r="G14" s="9"/>
    </row>
    <row r="15" spans="1:7" ht="25.05" customHeight="1">
      <c r="A15" s="6">
        <v>12</v>
      </c>
      <c r="B15" s="7" t="s">
        <v>133</v>
      </c>
      <c r="C15" s="6" t="s">
        <v>748</v>
      </c>
      <c r="D15" s="6" t="s">
        <v>401</v>
      </c>
      <c r="E15" s="8" t="s">
        <v>640</v>
      </c>
      <c r="F15" s="8">
        <v>17</v>
      </c>
      <c r="G15" s="8"/>
    </row>
    <row r="16" spans="1:7" ht="25.05" customHeight="1">
      <c r="A16" s="6">
        <v>13</v>
      </c>
      <c r="B16" s="7" t="s">
        <v>133</v>
      </c>
      <c r="C16" s="6" t="s">
        <v>748</v>
      </c>
      <c r="D16" s="6" t="s">
        <v>401</v>
      </c>
      <c r="E16" s="8" t="s">
        <v>641</v>
      </c>
      <c r="F16" s="8">
        <v>17</v>
      </c>
      <c r="G16" s="8"/>
    </row>
    <row r="17" spans="1:7" ht="25.05" customHeight="1">
      <c r="A17" s="6">
        <v>14</v>
      </c>
      <c r="B17" s="7" t="s">
        <v>133</v>
      </c>
      <c r="C17" s="6" t="s">
        <v>748</v>
      </c>
      <c r="D17" s="6" t="s">
        <v>401</v>
      </c>
      <c r="E17" s="8" t="s">
        <v>642</v>
      </c>
      <c r="F17" s="8">
        <v>70</v>
      </c>
      <c r="G17" s="8"/>
    </row>
    <row r="18" spans="1:7" ht="25.05" customHeight="1">
      <c r="A18" s="6">
        <v>15</v>
      </c>
      <c r="B18" s="7" t="s">
        <v>133</v>
      </c>
      <c r="C18" s="6" t="s">
        <v>748</v>
      </c>
      <c r="D18" s="6" t="s">
        <v>401</v>
      </c>
      <c r="E18" s="8" t="s">
        <v>643</v>
      </c>
      <c r="F18" s="8">
        <v>35</v>
      </c>
      <c r="G18" s="8"/>
    </row>
    <row r="19" spans="1:7" ht="25.05" customHeight="1">
      <c r="A19" s="6">
        <v>16</v>
      </c>
      <c r="B19" s="7" t="s">
        <v>133</v>
      </c>
      <c r="C19" s="6" t="s">
        <v>748</v>
      </c>
      <c r="D19" s="6" t="s">
        <v>401</v>
      </c>
      <c r="E19" s="8" t="s">
        <v>644</v>
      </c>
      <c r="F19" s="8">
        <v>30</v>
      </c>
      <c r="G19" s="8"/>
    </row>
    <row r="20" spans="1:7" ht="25.05" customHeight="1">
      <c r="A20" s="6">
        <v>17</v>
      </c>
      <c r="B20" s="7" t="s">
        <v>133</v>
      </c>
      <c r="C20" s="6" t="s">
        <v>748</v>
      </c>
      <c r="D20" s="6" t="s">
        <v>401</v>
      </c>
      <c r="E20" s="8" t="s">
        <v>645</v>
      </c>
      <c r="F20" s="8">
        <v>150</v>
      </c>
      <c r="G20" s="8"/>
    </row>
    <row r="21" spans="1:7" ht="25.05" customHeight="1">
      <c r="A21" s="6">
        <v>18</v>
      </c>
      <c r="B21" s="7" t="s">
        <v>133</v>
      </c>
      <c r="C21" s="6" t="s">
        <v>748</v>
      </c>
      <c r="D21" s="6" t="s">
        <v>401</v>
      </c>
      <c r="E21" s="8" t="s">
        <v>646</v>
      </c>
      <c r="F21" s="8">
        <v>10</v>
      </c>
      <c r="G21" s="8"/>
    </row>
    <row r="22" spans="1:7" ht="25.05" customHeight="1">
      <c r="A22" s="6">
        <v>19</v>
      </c>
      <c r="B22" s="7" t="s">
        <v>133</v>
      </c>
      <c r="C22" s="6" t="s">
        <v>748</v>
      </c>
      <c r="D22" s="3" t="s">
        <v>219</v>
      </c>
      <c r="E22" s="9" t="s">
        <v>409</v>
      </c>
      <c r="F22" s="9">
        <f>SUM(F15:F21)</f>
        <v>329</v>
      </c>
      <c r="G22" s="9"/>
    </row>
    <row r="23" spans="1:7" ht="25.05" customHeight="1">
      <c r="A23" s="6">
        <v>20</v>
      </c>
      <c r="B23" s="7" t="s">
        <v>133</v>
      </c>
      <c r="C23" s="6" t="s">
        <v>748</v>
      </c>
      <c r="D23" s="6" t="s">
        <v>221</v>
      </c>
      <c r="E23" s="8" t="s">
        <v>754</v>
      </c>
      <c r="F23" s="8">
        <v>7</v>
      </c>
      <c r="G23" s="8"/>
    </row>
    <row r="24" spans="1:7" ht="25.05" customHeight="1">
      <c r="A24" s="6">
        <v>21</v>
      </c>
      <c r="B24" s="7" t="s">
        <v>133</v>
      </c>
      <c r="C24" s="6" t="s">
        <v>748</v>
      </c>
      <c r="D24" s="6" t="s">
        <v>221</v>
      </c>
      <c r="E24" s="8" t="s">
        <v>755</v>
      </c>
      <c r="F24" s="8">
        <v>21</v>
      </c>
      <c r="G24" s="8"/>
    </row>
    <row r="25" spans="1:7" ht="25.05" customHeight="1">
      <c r="A25" s="6">
        <v>22</v>
      </c>
      <c r="B25" s="7" t="s">
        <v>133</v>
      </c>
      <c r="C25" s="6" t="s">
        <v>748</v>
      </c>
      <c r="D25" s="6" t="s">
        <v>221</v>
      </c>
      <c r="E25" s="8" t="s">
        <v>756</v>
      </c>
      <c r="F25" s="8">
        <v>6</v>
      </c>
      <c r="G25" s="8"/>
    </row>
    <row r="26" spans="1:7" ht="25.05" customHeight="1">
      <c r="A26" s="6">
        <v>23</v>
      </c>
      <c r="B26" s="7" t="s">
        <v>133</v>
      </c>
      <c r="C26" s="6" t="s">
        <v>748</v>
      </c>
      <c r="D26" s="6" t="s">
        <v>221</v>
      </c>
      <c r="E26" s="8" t="s">
        <v>757</v>
      </c>
      <c r="F26" s="8">
        <v>10</v>
      </c>
      <c r="G26" s="8"/>
    </row>
    <row r="27" spans="1:7" ht="25.05" customHeight="1">
      <c r="A27" s="6">
        <v>24</v>
      </c>
      <c r="B27" s="7" t="s">
        <v>133</v>
      </c>
      <c r="C27" s="6" t="s">
        <v>748</v>
      </c>
      <c r="D27" s="6" t="s">
        <v>221</v>
      </c>
      <c r="E27" s="8" t="s">
        <v>758</v>
      </c>
      <c r="F27" s="8">
        <v>11</v>
      </c>
      <c r="G27" s="8"/>
    </row>
    <row r="28" spans="1:7" ht="25.05" customHeight="1">
      <c r="A28" s="6">
        <v>25</v>
      </c>
      <c r="B28" s="7" t="s">
        <v>133</v>
      </c>
      <c r="C28" s="6" t="s">
        <v>748</v>
      </c>
      <c r="D28" s="6" t="s">
        <v>221</v>
      </c>
      <c r="E28" s="8" t="s">
        <v>759</v>
      </c>
      <c r="F28" s="8">
        <v>10</v>
      </c>
      <c r="G28" s="8"/>
    </row>
    <row r="29" spans="1:7" ht="25.05" customHeight="1">
      <c r="A29" s="6">
        <v>26</v>
      </c>
      <c r="B29" s="7" t="s">
        <v>133</v>
      </c>
      <c r="C29" s="6" t="s">
        <v>748</v>
      </c>
      <c r="D29" s="3" t="s">
        <v>219</v>
      </c>
      <c r="E29" s="9" t="s">
        <v>228</v>
      </c>
      <c r="F29" s="10">
        <f>SUM(F23:F28)</f>
        <v>65</v>
      </c>
      <c r="G29" s="9"/>
    </row>
    <row r="30" spans="1:7" ht="25.05" customHeight="1">
      <c r="A30" s="6">
        <v>27</v>
      </c>
      <c r="B30" s="7" t="s">
        <v>133</v>
      </c>
      <c r="C30" s="6" t="s">
        <v>748</v>
      </c>
      <c r="D30" s="6" t="s">
        <v>760</v>
      </c>
      <c r="E30" s="8" t="s">
        <v>761</v>
      </c>
      <c r="F30" s="8">
        <v>7</v>
      </c>
      <c r="G30" s="8"/>
    </row>
    <row r="31" spans="1:7" ht="25.05" customHeight="1">
      <c r="A31" s="6">
        <v>28</v>
      </c>
      <c r="B31" s="7" t="s">
        <v>133</v>
      </c>
      <c r="C31" s="6" t="s">
        <v>748</v>
      </c>
      <c r="D31" s="6" t="s">
        <v>760</v>
      </c>
      <c r="E31" s="8" t="s">
        <v>762</v>
      </c>
      <c r="F31" s="8">
        <v>21</v>
      </c>
      <c r="G31" s="8"/>
    </row>
    <row r="32" spans="1:7" ht="25.05" customHeight="1">
      <c r="A32" s="6">
        <v>29</v>
      </c>
      <c r="B32" s="7" t="s">
        <v>133</v>
      </c>
      <c r="C32" s="6" t="s">
        <v>748</v>
      </c>
      <c r="D32" s="6" t="s">
        <v>760</v>
      </c>
      <c r="E32" s="8" t="s">
        <v>763</v>
      </c>
      <c r="F32" s="8">
        <v>6</v>
      </c>
      <c r="G32" s="8"/>
    </row>
    <row r="33" spans="1:7" ht="25.05" customHeight="1">
      <c r="A33" s="6">
        <v>30</v>
      </c>
      <c r="B33" s="7" t="s">
        <v>133</v>
      </c>
      <c r="C33" s="6" t="s">
        <v>748</v>
      </c>
      <c r="D33" s="6" t="s">
        <v>760</v>
      </c>
      <c r="E33" s="8" t="s">
        <v>764</v>
      </c>
      <c r="F33" s="8">
        <v>10</v>
      </c>
      <c r="G33" s="8"/>
    </row>
    <row r="34" spans="1:7" ht="25.05" customHeight="1">
      <c r="A34" s="6">
        <v>31</v>
      </c>
      <c r="B34" s="7" t="s">
        <v>133</v>
      </c>
      <c r="C34" s="6" t="s">
        <v>748</v>
      </c>
      <c r="D34" s="6" t="s">
        <v>760</v>
      </c>
      <c r="E34" s="8" t="s">
        <v>765</v>
      </c>
      <c r="F34" s="8">
        <v>10</v>
      </c>
      <c r="G34" s="8"/>
    </row>
    <row r="35" spans="1:7" ht="25.05" customHeight="1">
      <c r="A35" s="6">
        <v>32</v>
      </c>
      <c r="B35" s="7" t="s">
        <v>133</v>
      </c>
      <c r="C35" s="6" t="s">
        <v>748</v>
      </c>
      <c r="D35" s="6" t="s">
        <v>760</v>
      </c>
      <c r="E35" s="8" t="s">
        <v>766</v>
      </c>
      <c r="F35" s="8">
        <v>11</v>
      </c>
      <c r="G35" s="8"/>
    </row>
    <row r="36" spans="1:7" ht="25.05" customHeight="1">
      <c r="A36" s="6">
        <v>33</v>
      </c>
      <c r="B36" s="7" t="s">
        <v>133</v>
      </c>
      <c r="C36" s="6" t="s">
        <v>748</v>
      </c>
      <c r="D36" s="6" t="s">
        <v>760</v>
      </c>
      <c r="E36" s="8" t="s">
        <v>767</v>
      </c>
      <c r="F36" s="8">
        <v>10</v>
      </c>
      <c r="G36" s="8"/>
    </row>
    <row r="37" spans="1:7" ht="25.05" customHeight="1">
      <c r="A37" s="6">
        <v>34</v>
      </c>
      <c r="B37" s="7" t="s">
        <v>133</v>
      </c>
      <c r="C37" s="6" t="s">
        <v>748</v>
      </c>
      <c r="D37" s="6" t="s">
        <v>760</v>
      </c>
      <c r="E37" s="8" t="s">
        <v>768</v>
      </c>
      <c r="F37" s="104">
        <v>10</v>
      </c>
      <c r="G37" s="8"/>
    </row>
    <row r="38" spans="1:7" ht="25.05" customHeight="1">
      <c r="A38" s="6">
        <v>35</v>
      </c>
      <c r="B38" s="7" t="s">
        <v>133</v>
      </c>
      <c r="C38" s="6" t="s">
        <v>748</v>
      </c>
      <c r="D38" s="6" t="s">
        <v>760</v>
      </c>
      <c r="E38" s="8" t="s">
        <v>769</v>
      </c>
      <c r="F38" s="104">
        <v>8</v>
      </c>
      <c r="G38" s="8"/>
    </row>
    <row r="39" spans="1:7" ht="25.05" customHeight="1">
      <c r="A39" s="6">
        <v>36</v>
      </c>
      <c r="B39" s="7" t="s">
        <v>133</v>
      </c>
      <c r="C39" s="6" t="s">
        <v>748</v>
      </c>
      <c r="D39" s="3" t="s">
        <v>219</v>
      </c>
      <c r="E39" s="9" t="s">
        <v>770</v>
      </c>
      <c r="F39" s="10">
        <v>93</v>
      </c>
      <c r="G39" s="9"/>
    </row>
    <row r="40" spans="1:7" ht="25.05" customHeight="1">
      <c r="A40" s="6">
        <v>37</v>
      </c>
      <c r="B40" s="7" t="s">
        <v>133</v>
      </c>
      <c r="C40" s="6" t="s">
        <v>748</v>
      </c>
      <c r="D40" s="6" t="s">
        <v>771</v>
      </c>
      <c r="E40" s="8" t="s">
        <v>772</v>
      </c>
      <c r="F40" s="25">
        <v>7</v>
      </c>
      <c r="G40" s="8"/>
    </row>
    <row r="41" spans="1:7" ht="25.05" customHeight="1">
      <c r="A41" s="6">
        <v>38</v>
      </c>
      <c r="B41" s="7" t="s">
        <v>133</v>
      </c>
      <c r="C41" s="6" t="s">
        <v>748</v>
      </c>
      <c r="D41" s="6" t="s">
        <v>771</v>
      </c>
      <c r="E41" s="8" t="s">
        <v>773</v>
      </c>
      <c r="F41" s="25">
        <v>60</v>
      </c>
      <c r="G41" s="8"/>
    </row>
    <row r="42" spans="1:7" ht="25.05" customHeight="1">
      <c r="A42" s="6">
        <v>39</v>
      </c>
      <c r="B42" s="7" t="s">
        <v>133</v>
      </c>
      <c r="C42" s="6" t="s">
        <v>748</v>
      </c>
      <c r="D42" s="6" t="s">
        <v>771</v>
      </c>
      <c r="E42" s="8" t="s">
        <v>774</v>
      </c>
      <c r="F42" s="25">
        <v>15</v>
      </c>
      <c r="G42" s="8"/>
    </row>
    <row r="43" spans="1:7" ht="25.05" customHeight="1">
      <c r="A43" s="6">
        <v>40</v>
      </c>
      <c r="B43" s="7" t="s">
        <v>133</v>
      </c>
      <c r="C43" s="6" t="s">
        <v>748</v>
      </c>
      <c r="D43" s="6" t="s">
        <v>771</v>
      </c>
      <c r="E43" s="8" t="s">
        <v>775</v>
      </c>
      <c r="F43" s="25">
        <v>60</v>
      </c>
      <c r="G43" s="8"/>
    </row>
    <row r="44" spans="1:7" ht="25.05" customHeight="1">
      <c r="A44" s="6">
        <v>41</v>
      </c>
      <c r="B44" s="7" t="s">
        <v>133</v>
      </c>
      <c r="C44" s="6" t="s">
        <v>748</v>
      </c>
      <c r="D44" s="3" t="s">
        <v>219</v>
      </c>
      <c r="E44" s="9" t="s">
        <v>776</v>
      </c>
      <c r="F44" s="79">
        <f ca="1">SUM(F40:F45)</f>
        <v>142</v>
      </c>
      <c r="G44" s="9"/>
    </row>
    <row r="45" spans="1:7" ht="25.05" customHeight="1">
      <c r="A45" s="6">
        <v>42</v>
      </c>
      <c r="B45" s="7" t="s">
        <v>133</v>
      </c>
      <c r="C45" s="6" t="s">
        <v>748</v>
      </c>
      <c r="D45" s="6" t="s">
        <v>629</v>
      </c>
      <c r="E45" s="8" t="s">
        <v>630</v>
      </c>
      <c r="F45" s="8">
        <v>7</v>
      </c>
      <c r="G45" s="8"/>
    </row>
    <row r="46" spans="1:7" ht="25.05" customHeight="1">
      <c r="A46" s="6">
        <v>43</v>
      </c>
      <c r="B46" s="7" t="s">
        <v>133</v>
      </c>
      <c r="C46" s="6" t="s">
        <v>748</v>
      </c>
      <c r="D46" s="6" t="s">
        <v>629</v>
      </c>
      <c r="E46" s="8" t="s">
        <v>777</v>
      </c>
      <c r="F46" s="8">
        <v>50</v>
      </c>
      <c r="G46" s="8"/>
    </row>
    <row r="47" spans="1:7" ht="25.05" customHeight="1">
      <c r="A47" s="6">
        <v>44</v>
      </c>
      <c r="B47" s="7" t="s">
        <v>133</v>
      </c>
      <c r="C47" s="6" t="s">
        <v>748</v>
      </c>
      <c r="D47" s="6" t="s">
        <v>629</v>
      </c>
      <c r="E47" s="8" t="s">
        <v>778</v>
      </c>
      <c r="F47" s="8">
        <v>50</v>
      </c>
      <c r="G47" s="8"/>
    </row>
    <row r="48" spans="1:7" ht="25.05" customHeight="1">
      <c r="A48" s="6">
        <v>45</v>
      </c>
      <c r="B48" s="7" t="s">
        <v>133</v>
      </c>
      <c r="C48" s="6" t="s">
        <v>748</v>
      </c>
      <c r="D48" s="6" t="s">
        <v>629</v>
      </c>
      <c r="E48" s="8" t="s">
        <v>779</v>
      </c>
      <c r="F48" s="8">
        <v>35</v>
      </c>
      <c r="G48" s="8"/>
    </row>
    <row r="49" spans="1:7" ht="25.05" customHeight="1">
      <c r="A49" s="6">
        <v>46</v>
      </c>
      <c r="B49" s="7" t="s">
        <v>133</v>
      </c>
      <c r="C49" s="6" t="s">
        <v>748</v>
      </c>
      <c r="D49" s="6" t="s">
        <v>629</v>
      </c>
      <c r="E49" s="8" t="s">
        <v>780</v>
      </c>
      <c r="F49" s="8">
        <v>35</v>
      </c>
      <c r="G49" s="8"/>
    </row>
    <row r="50" spans="1:7" ht="25.05" customHeight="1">
      <c r="A50" s="6">
        <v>47</v>
      </c>
      <c r="B50" s="7" t="s">
        <v>133</v>
      </c>
      <c r="C50" s="6" t="s">
        <v>748</v>
      </c>
      <c r="D50" s="6" t="s">
        <v>629</v>
      </c>
      <c r="E50" s="8" t="s">
        <v>781</v>
      </c>
      <c r="F50" s="8">
        <v>60</v>
      </c>
      <c r="G50" s="8"/>
    </row>
    <row r="51" spans="1:7" ht="25.05" customHeight="1">
      <c r="A51" s="6">
        <v>48</v>
      </c>
      <c r="B51" s="7" t="s">
        <v>133</v>
      </c>
      <c r="C51" s="6" t="s">
        <v>748</v>
      </c>
      <c r="D51" s="3" t="s">
        <v>219</v>
      </c>
      <c r="E51" s="9" t="s">
        <v>639</v>
      </c>
      <c r="F51" s="9">
        <f ca="1">SUM(F45:F51)</f>
        <v>237</v>
      </c>
      <c r="G51" s="9"/>
    </row>
    <row r="52" spans="1:7" ht="25.05" customHeight="1">
      <c r="A52" s="6">
        <v>49</v>
      </c>
      <c r="B52" s="7" t="s">
        <v>133</v>
      </c>
      <c r="C52" s="6" t="s">
        <v>748</v>
      </c>
      <c r="D52" s="6" t="s">
        <v>239</v>
      </c>
      <c r="E52" s="8" t="s">
        <v>782</v>
      </c>
      <c r="F52" s="8">
        <v>140</v>
      </c>
      <c r="G52" s="8"/>
    </row>
    <row r="53" spans="1:7" ht="25.05" customHeight="1">
      <c r="A53" s="6">
        <v>50</v>
      </c>
      <c r="B53" s="7" t="s">
        <v>133</v>
      </c>
      <c r="C53" s="6" t="s">
        <v>748</v>
      </c>
      <c r="D53" s="6" t="s">
        <v>239</v>
      </c>
      <c r="E53" s="8" t="s">
        <v>783</v>
      </c>
      <c r="F53" s="8">
        <v>130</v>
      </c>
      <c r="G53" s="8"/>
    </row>
    <row r="54" spans="1:7" ht="25.05" customHeight="1">
      <c r="A54" s="6">
        <v>51</v>
      </c>
      <c r="B54" s="7" t="s">
        <v>133</v>
      </c>
      <c r="C54" s="6" t="s">
        <v>748</v>
      </c>
      <c r="D54" s="3" t="s">
        <v>219</v>
      </c>
      <c r="E54" s="9" t="s">
        <v>242</v>
      </c>
      <c r="F54" s="9">
        <f>SUM(F52:F53)</f>
        <v>270</v>
      </c>
      <c r="G54" s="9"/>
    </row>
    <row r="55" spans="1:7" ht="25.05" customHeight="1">
      <c r="A55" s="6">
        <v>52</v>
      </c>
      <c r="B55" s="7" t="s">
        <v>133</v>
      </c>
      <c r="C55" s="6" t="s">
        <v>748</v>
      </c>
      <c r="D55" s="6" t="s">
        <v>259</v>
      </c>
      <c r="E55" s="8" t="s">
        <v>784</v>
      </c>
      <c r="F55" s="8">
        <v>960</v>
      </c>
      <c r="G55" s="8"/>
    </row>
    <row r="56" spans="1:7" ht="25.05" customHeight="1">
      <c r="A56" s="6">
        <v>53</v>
      </c>
      <c r="B56" s="7" t="s">
        <v>133</v>
      </c>
      <c r="C56" s="6" t="s">
        <v>748</v>
      </c>
      <c r="D56" s="6" t="s">
        <v>259</v>
      </c>
      <c r="E56" s="8" t="s">
        <v>785</v>
      </c>
      <c r="F56" s="8">
        <v>96</v>
      </c>
      <c r="G56" s="8"/>
    </row>
    <row r="57" spans="1:7" ht="25.05" customHeight="1">
      <c r="A57" s="6">
        <v>54</v>
      </c>
      <c r="B57" s="7" t="s">
        <v>133</v>
      </c>
      <c r="C57" s="6" t="s">
        <v>748</v>
      </c>
      <c r="D57" s="6" t="s">
        <v>259</v>
      </c>
      <c r="E57" s="11" t="s">
        <v>786</v>
      </c>
      <c r="F57" s="8">
        <v>120</v>
      </c>
      <c r="G57" s="8"/>
    </row>
    <row r="58" spans="1:7" ht="25.05" customHeight="1">
      <c r="A58" s="6">
        <v>55</v>
      </c>
      <c r="B58" s="7" t="s">
        <v>133</v>
      </c>
      <c r="C58" s="6" t="s">
        <v>748</v>
      </c>
      <c r="D58" s="6" t="s">
        <v>259</v>
      </c>
      <c r="E58" s="8" t="s">
        <v>787</v>
      </c>
      <c r="F58" s="8">
        <v>200</v>
      </c>
      <c r="G58" s="8"/>
    </row>
    <row r="59" spans="1:7" ht="25.05" customHeight="1">
      <c r="A59" s="6">
        <v>56</v>
      </c>
      <c r="B59" s="7" t="s">
        <v>133</v>
      </c>
      <c r="C59" s="6" t="s">
        <v>748</v>
      </c>
      <c r="D59" s="3" t="s">
        <v>219</v>
      </c>
      <c r="E59" s="9" t="s">
        <v>261</v>
      </c>
      <c r="F59" s="9">
        <v>1376</v>
      </c>
      <c r="G59" s="9"/>
    </row>
    <row r="60" spans="1:7" ht="25.05" customHeight="1">
      <c r="A60" s="6">
        <v>57</v>
      </c>
      <c r="B60" s="7" t="s">
        <v>133</v>
      </c>
      <c r="C60" s="6" t="s">
        <v>748</v>
      </c>
      <c r="D60" s="6" t="s">
        <v>243</v>
      </c>
      <c r="E60" s="8" t="s">
        <v>788</v>
      </c>
      <c r="F60" s="8">
        <v>13.2</v>
      </c>
      <c r="G60" s="8"/>
    </row>
    <row r="61" spans="1:7" ht="25.05" customHeight="1">
      <c r="A61" s="6">
        <v>58</v>
      </c>
      <c r="B61" s="7" t="s">
        <v>133</v>
      </c>
      <c r="C61" s="6" t="s">
        <v>748</v>
      </c>
      <c r="D61" s="6" t="s">
        <v>243</v>
      </c>
      <c r="E61" s="8" t="s">
        <v>789</v>
      </c>
      <c r="F61" s="8">
        <v>13.2</v>
      </c>
      <c r="G61" s="8"/>
    </row>
    <row r="62" spans="1:7" ht="25.05" customHeight="1">
      <c r="A62" s="6">
        <v>59</v>
      </c>
      <c r="B62" s="7" t="s">
        <v>133</v>
      </c>
      <c r="C62" s="6" t="s">
        <v>748</v>
      </c>
      <c r="D62" s="6" t="s">
        <v>243</v>
      </c>
      <c r="E62" s="8" t="s">
        <v>790</v>
      </c>
      <c r="F62" s="8">
        <v>24</v>
      </c>
      <c r="G62" s="8"/>
    </row>
    <row r="63" spans="1:7" ht="25.05" customHeight="1">
      <c r="A63" s="6">
        <v>60</v>
      </c>
      <c r="B63" s="7" t="s">
        <v>133</v>
      </c>
      <c r="C63" s="6" t="s">
        <v>748</v>
      </c>
      <c r="D63" s="6" t="s">
        <v>243</v>
      </c>
      <c r="E63" s="8" t="s">
        <v>423</v>
      </c>
      <c r="F63" s="8">
        <v>2</v>
      </c>
      <c r="G63" s="8"/>
    </row>
    <row r="64" spans="1:7" ht="25.05" customHeight="1">
      <c r="A64" s="6">
        <v>61</v>
      </c>
      <c r="B64" s="7" t="s">
        <v>133</v>
      </c>
      <c r="C64" s="6" t="s">
        <v>748</v>
      </c>
      <c r="D64" s="3" t="s">
        <v>219</v>
      </c>
      <c r="E64" s="9" t="s">
        <v>248</v>
      </c>
      <c r="F64" s="9">
        <v>52.4</v>
      </c>
      <c r="G64" s="9"/>
    </row>
    <row r="65" spans="1:7" ht="25.05" customHeight="1">
      <c r="A65" s="6">
        <v>62</v>
      </c>
      <c r="B65" s="7" t="s">
        <v>133</v>
      </c>
      <c r="C65" s="6" t="s">
        <v>748</v>
      </c>
      <c r="D65" s="6" t="s">
        <v>249</v>
      </c>
      <c r="E65" s="8" t="s">
        <v>332</v>
      </c>
      <c r="F65" s="8">
        <v>8</v>
      </c>
      <c r="G65" s="8"/>
    </row>
    <row r="66" spans="1:7" ht="25.05" customHeight="1">
      <c r="A66" s="6">
        <v>63</v>
      </c>
      <c r="B66" s="7" t="s">
        <v>133</v>
      </c>
      <c r="C66" s="6" t="s">
        <v>748</v>
      </c>
      <c r="D66" s="6" t="s">
        <v>249</v>
      </c>
      <c r="E66" s="8" t="s">
        <v>333</v>
      </c>
      <c r="F66" s="8">
        <v>8</v>
      </c>
      <c r="G66" s="8"/>
    </row>
    <row r="67" spans="1:7" ht="25.05" customHeight="1">
      <c r="A67" s="6">
        <v>64</v>
      </c>
      <c r="B67" s="7" t="s">
        <v>133</v>
      </c>
      <c r="C67" s="6" t="s">
        <v>748</v>
      </c>
      <c r="D67" s="6" t="s">
        <v>249</v>
      </c>
      <c r="E67" s="8" t="s">
        <v>791</v>
      </c>
      <c r="F67" s="8">
        <v>48</v>
      </c>
      <c r="G67" s="8"/>
    </row>
    <row r="68" spans="1:7" ht="25.05" customHeight="1">
      <c r="A68" s="6">
        <v>65</v>
      </c>
      <c r="B68" s="7" t="s">
        <v>133</v>
      </c>
      <c r="C68" s="6" t="s">
        <v>748</v>
      </c>
      <c r="D68" s="6" t="s">
        <v>249</v>
      </c>
      <c r="E68" s="8" t="s">
        <v>792</v>
      </c>
      <c r="F68" s="8">
        <v>12</v>
      </c>
      <c r="G68" s="8"/>
    </row>
    <row r="69" spans="1:7" ht="25.05" customHeight="1">
      <c r="A69" s="6">
        <v>66</v>
      </c>
      <c r="B69" s="7" t="s">
        <v>133</v>
      </c>
      <c r="C69" s="6" t="s">
        <v>748</v>
      </c>
      <c r="D69" s="6" t="s">
        <v>249</v>
      </c>
      <c r="E69" s="8" t="s">
        <v>335</v>
      </c>
      <c r="F69" s="8">
        <v>8</v>
      </c>
      <c r="G69" s="8"/>
    </row>
    <row r="70" spans="1:7" ht="25.05" customHeight="1">
      <c r="A70" s="6">
        <v>67</v>
      </c>
      <c r="B70" s="7" t="s">
        <v>133</v>
      </c>
      <c r="C70" s="6" t="s">
        <v>748</v>
      </c>
      <c r="D70" s="6" t="s">
        <v>249</v>
      </c>
      <c r="E70" s="8" t="s">
        <v>740</v>
      </c>
      <c r="F70" s="8">
        <v>5</v>
      </c>
      <c r="G70" s="8"/>
    </row>
    <row r="71" spans="1:7" ht="25.05" customHeight="1">
      <c r="A71" s="6">
        <v>68</v>
      </c>
      <c r="B71" s="7" t="s">
        <v>133</v>
      </c>
      <c r="C71" s="6" t="s">
        <v>748</v>
      </c>
      <c r="D71" s="6" t="s">
        <v>249</v>
      </c>
      <c r="E71" s="8" t="s">
        <v>793</v>
      </c>
      <c r="F71" s="8">
        <v>20</v>
      </c>
      <c r="G71" s="8"/>
    </row>
    <row r="72" spans="1:7" ht="25.05" customHeight="1">
      <c r="A72" s="6">
        <v>69</v>
      </c>
      <c r="B72" s="7" t="s">
        <v>133</v>
      </c>
      <c r="C72" s="6" t="s">
        <v>748</v>
      </c>
      <c r="D72" s="6" t="s">
        <v>249</v>
      </c>
      <c r="E72" s="8" t="s">
        <v>794</v>
      </c>
      <c r="F72" s="8">
        <v>80</v>
      </c>
      <c r="G72" s="8"/>
    </row>
    <row r="73" spans="1:7" ht="25.05" customHeight="1">
      <c r="A73" s="6">
        <v>70</v>
      </c>
      <c r="B73" s="7" t="s">
        <v>133</v>
      </c>
      <c r="C73" s="6" t="s">
        <v>748</v>
      </c>
      <c r="D73" s="3" t="s">
        <v>219</v>
      </c>
      <c r="E73" s="9" t="s">
        <v>255</v>
      </c>
      <c r="F73" s="9">
        <v>189</v>
      </c>
      <c r="G73" s="9"/>
    </row>
    <row r="74" spans="1:7" ht="25.05" customHeight="1">
      <c r="A74" s="6">
        <v>71</v>
      </c>
      <c r="B74" s="7" t="s">
        <v>133</v>
      </c>
      <c r="C74" s="6" t="s">
        <v>748</v>
      </c>
      <c r="D74" s="6" t="s">
        <v>262</v>
      </c>
      <c r="E74" s="8" t="s">
        <v>425</v>
      </c>
      <c r="F74" s="8">
        <v>300</v>
      </c>
      <c r="G74" s="8"/>
    </row>
    <row r="75" spans="1:7" ht="25.05" customHeight="1">
      <c r="A75" s="6">
        <v>72</v>
      </c>
      <c r="B75" s="7" t="s">
        <v>133</v>
      </c>
      <c r="C75" s="6" t="s">
        <v>748</v>
      </c>
      <c r="D75" s="6" t="s">
        <v>262</v>
      </c>
      <c r="E75" s="8" t="s">
        <v>264</v>
      </c>
      <c r="F75" s="8">
        <v>40</v>
      </c>
      <c r="G75" s="8"/>
    </row>
    <row r="76" spans="1:7" ht="25.05" customHeight="1">
      <c r="A76" s="6">
        <v>73</v>
      </c>
      <c r="B76" s="7" t="s">
        <v>133</v>
      </c>
      <c r="C76" s="6" t="s">
        <v>748</v>
      </c>
      <c r="D76" s="6" t="s">
        <v>262</v>
      </c>
      <c r="E76" s="8" t="s">
        <v>265</v>
      </c>
      <c r="F76" s="8">
        <v>40</v>
      </c>
      <c r="G76" s="8"/>
    </row>
    <row r="77" spans="1:7" ht="25.05" customHeight="1">
      <c r="A77" s="6">
        <v>74</v>
      </c>
      <c r="B77" s="7" t="s">
        <v>133</v>
      </c>
      <c r="C77" s="6" t="s">
        <v>748</v>
      </c>
      <c r="D77" s="3" t="s">
        <v>219</v>
      </c>
      <c r="E77" s="9" t="s">
        <v>266</v>
      </c>
      <c r="F77" s="9">
        <f>SUM(F74:F76)</f>
        <v>380</v>
      </c>
      <c r="G77" s="9"/>
    </row>
    <row r="78" spans="1:7" ht="25.05" customHeight="1">
      <c r="A78" s="6">
        <v>75</v>
      </c>
      <c r="B78" s="7" t="s">
        <v>133</v>
      </c>
      <c r="C78" s="6" t="s">
        <v>748</v>
      </c>
      <c r="D78" s="3" t="s">
        <v>267</v>
      </c>
      <c r="E78" s="10" t="s">
        <v>795</v>
      </c>
      <c r="F78" s="10">
        <v>3635</v>
      </c>
      <c r="G78" s="9"/>
    </row>
    <row r="79" spans="1:7" ht="25.05" customHeight="1">
      <c r="A79" s="220" t="s">
        <v>796</v>
      </c>
      <c r="B79" s="221"/>
      <c r="C79" s="221"/>
      <c r="D79" s="221"/>
      <c r="E79" s="221"/>
      <c r="F79" s="221"/>
      <c r="G79" s="222"/>
    </row>
  </sheetData>
  <autoFilter ref="A3:G79" xr:uid="{00000000-0009-0000-0000-00002A000000}"/>
  <mergeCells count="3">
    <mergeCell ref="A1:G1"/>
    <mergeCell ref="A2:G2"/>
    <mergeCell ref="A79:G79"/>
  </mergeCells>
  <phoneticPr fontId="23" type="noConversion"/>
  <pageMargins left="0.59055118110236204" right="0.196850393700787" top="0.35433070866141703" bottom="0.511811023622047" header="0.31496062992126" footer="0.27559055118110198"/>
  <pageSetup paperSize="9" orientation="portrait" horizontalDpi="300" verticalDpi="300" r:id="rId1"/>
  <headerFooter>
    <oddFooter>&amp;C&amp;8第 &amp;P 页，共 &amp;N 页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G28"/>
  <sheetViews>
    <sheetView tabSelected="1" view="pageBreakPreview" topLeftCell="A4" zoomScale="115" zoomScaleNormal="100" workbookViewId="0">
      <selection activeCell="A15" sqref="A15:G15"/>
    </sheetView>
  </sheetViews>
  <sheetFormatPr defaultColWidth="9" defaultRowHeight="15.75"/>
  <cols>
    <col min="1" max="1" width="4.06640625" style="1" customWidth="1"/>
    <col min="2" max="2" width="9.19921875" style="2" customWidth="1"/>
    <col min="3" max="3" width="12.59765625" style="1" customWidth="1"/>
    <col min="4" max="4" width="9.9296875" style="1" customWidth="1"/>
    <col min="5" max="5" width="41.46484375" style="1" customWidth="1"/>
    <col min="6" max="6" width="8.19921875" style="1" customWidth="1"/>
    <col min="7" max="7" width="8.73046875" style="1" customWidth="1"/>
  </cols>
  <sheetData>
    <row r="1" spans="1:7" ht="25.05" customHeight="1">
      <c r="A1" s="215" t="s">
        <v>797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798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127</v>
      </c>
      <c r="C4" s="6" t="s">
        <v>141</v>
      </c>
      <c r="D4" s="6" t="s">
        <v>209</v>
      </c>
      <c r="E4" s="8" t="s">
        <v>210</v>
      </c>
      <c r="F4" s="8">
        <v>24</v>
      </c>
      <c r="G4" s="8"/>
    </row>
    <row r="5" spans="1:7" ht="25.05" customHeight="1">
      <c r="A5" s="6">
        <v>2</v>
      </c>
      <c r="B5" s="7" t="s">
        <v>127</v>
      </c>
      <c r="C5" s="6" t="s">
        <v>141</v>
      </c>
      <c r="D5" s="6" t="s">
        <v>209</v>
      </c>
      <c r="E5" s="8" t="s">
        <v>211</v>
      </c>
      <c r="F5" s="8">
        <v>20</v>
      </c>
      <c r="G5" s="8"/>
    </row>
    <row r="6" spans="1:7" ht="25.05" customHeight="1">
      <c r="A6" s="6">
        <v>3</v>
      </c>
      <c r="B6" s="7" t="s">
        <v>127</v>
      </c>
      <c r="C6" s="6" t="s">
        <v>141</v>
      </c>
      <c r="D6" s="6" t="s">
        <v>209</v>
      </c>
      <c r="E6" s="8" t="s">
        <v>212</v>
      </c>
      <c r="F6" s="8">
        <v>39</v>
      </c>
      <c r="G6" s="8"/>
    </row>
    <row r="7" spans="1:7" ht="25.05" customHeight="1">
      <c r="A7" s="6">
        <v>4</v>
      </c>
      <c r="B7" s="7" t="s">
        <v>127</v>
      </c>
      <c r="C7" s="6" t="s">
        <v>141</v>
      </c>
      <c r="D7" s="6" t="s">
        <v>209</v>
      </c>
      <c r="E7" s="8" t="s">
        <v>272</v>
      </c>
      <c r="F7" s="8">
        <v>39</v>
      </c>
      <c r="G7" s="8"/>
    </row>
    <row r="8" spans="1:7" ht="25.05" customHeight="1">
      <c r="A8" s="6">
        <v>5</v>
      </c>
      <c r="B8" s="7" t="s">
        <v>127</v>
      </c>
      <c r="C8" s="6" t="s">
        <v>141</v>
      </c>
      <c r="D8" s="6" t="s">
        <v>209</v>
      </c>
      <c r="E8" s="8" t="s">
        <v>214</v>
      </c>
      <c r="F8" s="8">
        <v>31</v>
      </c>
      <c r="G8" s="8"/>
    </row>
    <row r="9" spans="1:7" ht="25.05" customHeight="1">
      <c r="A9" s="6">
        <v>6</v>
      </c>
      <c r="B9" s="7" t="s">
        <v>127</v>
      </c>
      <c r="C9" s="6" t="s">
        <v>141</v>
      </c>
      <c r="D9" s="6" t="s">
        <v>209</v>
      </c>
      <c r="E9" s="8" t="s">
        <v>312</v>
      </c>
      <c r="F9" s="8">
        <v>12</v>
      </c>
      <c r="G9" s="8"/>
    </row>
    <row r="10" spans="1:7" ht="25.05" customHeight="1">
      <c r="A10" s="6">
        <v>7</v>
      </c>
      <c r="B10" s="7" t="s">
        <v>127</v>
      </c>
      <c r="C10" s="6" t="s">
        <v>141</v>
      </c>
      <c r="D10" s="6" t="s">
        <v>209</v>
      </c>
      <c r="E10" s="8" t="s">
        <v>400</v>
      </c>
      <c r="F10" s="8">
        <v>10</v>
      </c>
      <c r="G10" s="8"/>
    </row>
    <row r="11" spans="1:7" ht="25.05" customHeight="1">
      <c r="A11" s="6">
        <v>8</v>
      </c>
      <c r="B11" s="7" t="s">
        <v>127</v>
      </c>
      <c r="C11" s="6" t="s">
        <v>141</v>
      </c>
      <c r="D11" s="6" t="s">
        <v>209</v>
      </c>
      <c r="E11" s="81" t="s">
        <v>216</v>
      </c>
      <c r="F11" s="8">
        <v>50</v>
      </c>
      <c r="G11" s="8"/>
    </row>
    <row r="12" spans="1:7" ht="25.05" customHeight="1">
      <c r="A12" s="6">
        <v>9</v>
      </c>
      <c r="B12" s="7" t="s">
        <v>127</v>
      </c>
      <c r="C12" s="6" t="s">
        <v>141</v>
      </c>
      <c r="D12" s="6" t="s">
        <v>209</v>
      </c>
      <c r="E12" s="81" t="s">
        <v>799</v>
      </c>
      <c r="F12" s="8">
        <v>35</v>
      </c>
      <c r="G12" s="8"/>
    </row>
    <row r="13" spans="1:7" ht="25.05" customHeight="1">
      <c r="A13" s="6">
        <v>10</v>
      </c>
      <c r="B13" s="7" t="s">
        <v>127</v>
      </c>
      <c r="C13" s="6" t="s">
        <v>141</v>
      </c>
      <c r="D13" s="6" t="s">
        <v>209</v>
      </c>
      <c r="E13" s="8" t="s">
        <v>217</v>
      </c>
      <c r="F13" s="8">
        <v>75</v>
      </c>
      <c r="G13" s="8"/>
    </row>
    <row r="14" spans="1:7" ht="25.05" customHeight="1">
      <c r="A14" s="6">
        <v>11</v>
      </c>
      <c r="B14" s="7" t="s">
        <v>127</v>
      </c>
      <c r="C14" s="6" t="s">
        <v>141</v>
      </c>
      <c r="D14" s="3" t="s">
        <v>267</v>
      </c>
      <c r="E14" s="9" t="s">
        <v>800</v>
      </c>
      <c r="F14" s="9">
        <f>SUM(F4:F13)</f>
        <v>335</v>
      </c>
      <c r="G14" s="9"/>
    </row>
    <row r="15" spans="1:7" ht="25.05" customHeight="1">
      <c r="A15" s="237"/>
      <c r="B15" s="238"/>
      <c r="C15" s="238"/>
      <c r="D15" s="238"/>
      <c r="E15" s="238"/>
      <c r="F15" s="238"/>
      <c r="G15" s="239"/>
    </row>
    <row r="16" spans="1:7" ht="25.05" customHeight="1">
      <c r="A16" s="3" t="s">
        <v>203</v>
      </c>
      <c r="B16" s="4" t="s">
        <v>204</v>
      </c>
      <c r="C16" s="3" t="s">
        <v>205</v>
      </c>
      <c r="D16" s="3" t="s">
        <v>206</v>
      </c>
      <c r="E16" s="3" t="s">
        <v>207</v>
      </c>
      <c r="F16" s="5" t="s">
        <v>208</v>
      </c>
      <c r="G16" s="5" t="s">
        <v>11</v>
      </c>
    </row>
    <row r="17" spans="1:7" ht="25.05" customHeight="1">
      <c r="A17" s="6">
        <v>1</v>
      </c>
      <c r="B17" s="7" t="s">
        <v>127</v>
      </c>
      <c r="C17" s="6" t="s">
        <v>141</v>
      </c>
      <c r="D17" s="6" t="s">
        <v>401</v>
      </c>
      <c r="E17" s="8" t="s">
        <v>402</v>
      </c>
      <c r="F17" s="8">
        <v>44</v>
      </c>
      <c r="G17" s="8"/>
    </row>
    <row r="18" spans="1:7" ht="25.05" customHeight="1">
      <c r="A18" s="6">
        <v>2</v>
      </c>
      <c r="B18" s="7" t="s">
        <v>127</v>
      </c>
      <c r="C18" s="6" t="s">
        <v>141</v>
      </c>
      <c r="D18" s="6" t="s">
        <v>401</v>
      </c>
      <c r="E18" s="8" t="s">
        <v>403</v>
      </c>
      <c r="F18" s="8">
        <v>44</v>
      </c>
      <c r="G18" s="8"/>
    </row>
    <row r="19" spans="1:7" ht="25.05" customHeight="1">
      <c r="A19" s="6">
        <v>3</v>
      </c>
      <c r="B19" s="7" t="s">
        <v>127</v>
      </c>
      <c r="C19" s="6" t="s">
        <v>141</v>
      </c>
      <c r="D19" s="6" t="s">
        <v>401</v>
      </c>
      <c r="E19" s="8" t="s">
        <v>404</v>
      </c>
      <c r="F19" s="8">
        <v>160</v>
      </c>
      <c r="G19" s="8"/>
    </row>
    <row r="20" spans="1:7" ht="25.05" customHeight="1">
      <c r="A20" s="6">
        <v>4</v>
      </c>
      <c r="B20" s="7" t="s">
        <v>127</v>
      </c>
      <c r="C20" s="6" t="s">
        <v>141</v>
      </c>
      <c r="D20" s="6" t="s">
        <v>401</v>
      </c>
      <c r="E20" s="8" t="s">
        <v>408</v>
      </c>
      <c r="F20" s="8">
        <v>16</v>
      </c>
      <c r="G20" s="8"/>
    </row>
    <row r="21" spans="1:7" ht="25.05" customHeight="1">
      <c r="A21" s="6">
        <v>5</v>
      </c>
      <c r="B21" s="7" t="s">
        <v>127</v>
      </c>
      <c r="C21" s="6" t="s">
        <v>141</v>
      </c>
      <c r="D21" s="6" t="s">
        <v>401</v>
      </c>
      <c r="E21" s="8" t="s">
        <v>405</v>
      </c>
      <c r="F21" s="8">
        <v>80</v>
      </c>
      <c r="G21" s="8"/>
    </row>
    <row r="22" spans="1:7" ht="25.05" customHeight="1">
      <c r="A22" s="6">
        <v>6</v>
      </c>
      <c r="B22" s="7" t="s">
        <v>127</v>
      </c>
      <c r="C22" s="6" t="s">
        <v>141</v>
      </c>
      <c r="D22" s="6" t="s">
        <v>401</v>
      </c>
      <c r="E22" s="8" t="s">
        <v>406</v>
      </c>
      <c r="F22" s="8">
        <v>30</v>
      </c>
      <c r="G22" s="8"/>
    </row>
    <row r="23" spans="1:7" ht="25.05" customHeight="1">
      <c r="A23" s="6">
        <v>7</v>
      </c>
      <c r="B23" s="7" t="s">
        <v>127</v>
      </c>
      <c r="C23" s="6" t="s">
        <v>141</v>
      </c>
      <c r="D23" s="6" t="s">
        <v>401</v>
      </c>
      <c r="E23" s="8" t="s">
        <v>459</v>
      </c>
      <c r="F23" s="8">
        <v>300</v>
      </c>
      <c r="G23" s="8"/>
    </row>
    <row r="24" spans="1:7" ht="25.05" customHeight="1">
      <c r="A24" s="6">
        <v>8</v>
      </c>
      <c r="B24" s="7" t="s">
        <v>127</v>
      </c>
      <c r="C24" s="6" t="s">
        <v>141</v>
      </c>
      <c r="D24" s="3" t="s">
        <v>267</v>
      </c>
      <c r="E24" s="9" t="s">
        <v>801</v>
      </c>
      <c r="F24" s="9">
        <f>SUM(F17:F23)</f>
        <v>674</v>
      </c>
      <c r="G24" s="9"/>
    </row>
    <row r="25" spans="1:7" ht="25.05" customHeight="1">
      <c r="A25" s="220" t="s">
        <v>802</v>
      </c>
      <c r="B25" s="221"/>
      <c r="C25" s="221"/>
      <c r="D25" s="221"/>
      <c r="E25" s="221"/>
      <c r="F25" s="221"/>
      <c r="G25" s="222"/>
    </row>
    <row r="26" spans="1:7" ht="13.5" customHeight="1"/>
    <row r="27" spans="1:7" ht="13.5" customHeight="1"/>
    <row r="28" spans="1:7" ht="13.5" customHeight="1"/>
  </sheetData>
  <autoFilter ref="A3:G14" xr:uid="{00000000-0009-0000-0000-00002B000000}"/>
  <mergeCells count="4">
    <mergeCell ref="A1:G1"/>
    <mergeCell ref="A2:G2"/>
    <mergeCell ref="A15:G15"/>
    <mergeCell ref="A25:G25"/>
  </mergeCells>
  <phoneticPr fontId="23" type="noConversion"/>
  <pageMargins left="0.59055118110236204" right="0.23622047244094499" top="0.35433070866141703" bottom="0.62992125984252001" header="0.35433070866141703" footer="0.31496062992126"/>
  <pageSetup paperSize="9" orientation="portrait" horizontalDpi="1200" verticalDpi="1200" r:id="rId1"/>
  <headerFooter>
    <oddFooter>&amp;C&amp;8第 &amp;P 页，共 &amp;N 页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G15"/>
  <sheetViews>
    <sheetView view="pageBreakPreview" zoomScale="130" zoomScaleNormal="100" workbookViewId="0">
      <selection activeCell="E6" sqref="E6"/>
    </sheetView>
  </sheetViews>
  <sheetFormatPr defaultColWidth="9" defaultRowHeight="13.5"/>
  <cols>
    <col min="1" max="1" width="4.06640625" style="100" customWidth="1"/>
    <col min="2" max="2" width="8.796875" style="101" customWidth="1"/>
    <col min="3" max="3" width="11.9296875" style="100" customWidth="1"/>
    <col min="4" max="4" width="11.06640625" style="100" customWidth="1"/>
    <col min="5" max="5" width="39.9296875" style="100" customWidth="1"/>
    <col min="6" max="6" width="6.73046875" style="100" customWidth="1"/>
    <col min="7" max="7" width="9" style="100"/>
  </cols>
  <sheetData>
    <row r="1" spans="1:7" ht="25.05" customHeight="1">
      <c r="A1" s="215" t="s">
        <v>803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804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127</v>
      </c>
      <c r="C4" s="6" t="s">
        <v>146</v>
      </c>
      <c r="D4" s="6" t="s">
        <v>401</v>
      </c>
      <c r="E4" s="8" t="s">
        <v>402</v>
      </c>
      <c r="F4" s="8">
        <v>44</v>
      </c>
      <c r="G4" s="8"/>
    </row>
    <row r="5" spans="1:7" ht="25.05" customHeight="1">
      <c r="A5" s="6">
        <v>2</v>
      </c>
      <c r="B5" s="7" t="s">
        <v>127</v>
      </c>
      <c r="C5" s="6" t="s">
        <v>146</v>
      </c>
      <c r="D5" s="6" t="s">
        <v>401</v>
      </c>
      <c r="E5" s="8" t="s">
        <v>403</v>
      </c>
      <c r="F5" s="8">
        <v>44</v>
      </c>
      <c r="G5" s="8"/>
    </row>
    <row r="6" spans="1:7" ht="25.05" customHeight="1">
      <c r="A6" s="6">
        <v>3</v>
      </c>
      <c r="B6" s="7" t="s">
        <v>127</v>
      </c>
      <c r="C6" s="6" t="s">
        <v>146</v>
      </c>
      <c r="D6" s="6" t="s">
        <v>401</v>
      </c>
      <c r="E6" s="8" t="s">
        <v>404</v>
      </c>
      <c r="F6" s="8">
        <v>160</v>
      </c>
      <c r="G6" s="8"/>
    </row>
    <row r="7" spans="1:7" ht="25.05" customHeight="1">
      <c r="A7" s="6">
        <v>4</v>
      </c>
      <c r="B7" s="7" t="s">
        <v>127</v>
      </c>
      <c r="C7" s="6" t="s">
        <v>146</v>
      </c>
      <c r="D7" s="6" t="s">
        <v>401</v>
      </c>
      <c r="E7" s="8" t="s">
        <v>408</v>
      </c>
      <c r="F7" s="8">
        <v>16</v>
      </c>
      <c r="G7" s="8"/>
    </row>
    <row r="8" spans="1:7" ht="25.05" customHeight="1">
      <c r="A8" s="6">
        <v>5</v>
      </c>
      <c r="B8" s="7" t="s">
        <v>127</v>
      </c>
      <c r="C8" s="6" t="s">
        <v>146</v>
      </c>
      <c r="D8" s="6" t="s">
        <v>401</v>
      </c>
      <c r="E8" s="8" t="s">
        <v>405</v>
      </c>
      <c r="F8" s="8">
        <v>80</v>
      </c>
      <c r="G8" s="8"/>
    </row>
    <row r="9" spans="1:7" ht="25.05" customHeight="1">
      <c r="A9" s="6">
        <v>6</v>
      </c>
      <c r="B9" s="7" t="s">
        <v>127</v>
      </c>
      <c r="C9" s="6" t="s">
        <v>146</v>
      </c>
      <c r="D9" s="6" t="s">
        <v>401</v>
      </c>
      <c r="E9" s="8" t="s">
        <v>406</v>
      </c>
      <c r="F9" s="8">
        <v>45</v>
      </c>
      <c r="G9" s="8"/>
    </row>
    <row r="10" spans="1:7" ht="25.05" customHeight="1">
      <c r="A10" s="6">
        <v>7</v>
      </c>
      <c r="B10" s="7" t="s">
        <v>127</v>
      </c>
      <c r="C10" s="6" t="s">
        <v>146</v>
      </c>
      <c r="D10" s="6" t="s">
        <v>401</v>
      </c>
      <c r="E10" s="8" t="s">
        <v>459</v>
      </c>
      <c r="F10" s="8">
        <v>300</v>
      </c>
      <c r="G10" s="8"/>
    </row>
    <row r="11" spans="1:7" ht="25.05" customHeight="1">
      <c r="A11" s="6">
        <v>8</v>
      </c>
      <c r="B11" s="7" t="s">
        <v>127</v>
      </c>
      <c r="C11" s="6" t="s">
        <v>146</v>
      </c>
      <c r="D11" s="3" t="s">
        <v>267</v>
      </c>
      <c r="E11" s="9" t="s">
        <v>801</v>
      </c>
      <c r="F11" s="9">
        <f>SUM(F4:F10)</f>
        <v>689</v>
      </c>
      <c r="G11" s="9"/>
    </row>
    <row r="12" spans="1:7" ht="25.05" customHeight="1">
      <c r="A12" s="220" t="s">
        <v>805</v>
      </c>
      <c r="B12" s="221"/>
      <c r="C12" s="221"/>
      <c r="D12" s="221"/>
      <c r="E12" s="221"/>
      <c r="F12" s="221"/>
      <c r="G12" s="222"/>
    </row>
    <row r="13" spans="1:7" ht="13.5" customHeight="1">
      <c r="A13" s="102"/>
      <c r="B13" s="103"/>
      <c r="C13" s="102"/>
      <c r="D13" s="102"/>
      <c r="E13" s="102"/>
      <c r="F13" s="102"/>
    </row>
    <row r="14" spans="1:7" ht="13.5" customHeight="1">
      <c r="A14" s="102"/>
      <c r="B14" s="103"/>
      <c r="C14" s="102"/>
      <c r="D14" s="102"/>
      <c r="E14" s="102"/>
      <c r="F14" s="102"/>
    </row>
    <row r="15" spans="1:7" ht="13.5" customHeight="1">
      <c r="A15" s="102"/>
      <c r="B15" s="103"/>
      <c r="C15" s="102"/>
      <c r="D15" s="102"/>
      <c r="E15" s="102"/>
      <c r="F15" s="102"/>
    </row>
  </sheetData>
  <autoFilter ref="A3:G12" xr:uid="{00000000-0009-0000-0000-00002C000000}"/>
  <mergeCells count="3">
    <mergeCell ref="A1:G1"/>
    <mergeCell ref="A2:G2"/>
    <mergeCell ref="A12:G12"/>
  </mergeCells>
  <phoneticPr fontId="23" type="noConversion"/>
  <pageMargins left="0.59055118110236204" right="0.196850393700787" top="0.35433070866141703" bottom="0.511811023622047" header="0.35433070866141703" footer="0.23622047244094499"/>
  <pageSetup paperSize="9" orientation="portrait" horizontalDpi="300" verticalDpi="300" r:id="rId1"/>
  <headerFooter>
    <oddFooter>&amp;C&amp;8第 &amp;P 页，共 &amp;N 页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G28"/>
  <sheetViews>
    <sheetView view="pageBreakPreview" zoomScale="115" zoomScaleNormal="100" workbookViewId="0">
      <selection sqref="A1:G1"/>
    </sheetView>
  </sheetViews>
  <sheetFormatPr defaultColWidth="9" defaultRowHeight="15.75"/>
  <cols>
    <col min="1" max="1" width="4.53125" style="1" customWidth="1"/>
    <col min="2" max="2" width="9.46484375" style="2" customWidth="1"/>
    <col min="3" max="3" width="12.796875" style="1" customWidth="1"/>
    <col min="4" max="4" width="10.59765625" style="1" customWidth="1"/>
    <col min="5" max="5" width="39.9296875" style="1" customWidth="1"/>
    <col min="6" max="6" width="6.73046875" style="1" customWidth="1"/>
    <col min="7" max="7" width="9.19921875" style="1" customWidth="1"/>
  </cols>
  <sheetData>
    <row r="1" spans="1:7" ht="25.05" customHeight="1">
      <c r="A1" s="215" t="s">
        <v>806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807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127</v>
      </c>
      <c r="C4" s="6" t="s">
        <v>148</v>
      </c>
      <c r="D4" s="6" t="s">
        <v>209</v>
      </c>
      <c r="E4" s="8" t="s">
        <v>210</v>
      </c>
      <c r="F4" s="8">
        <v>24</v>
      </c>
      <c r="G4" s="8"/>
    </row>
    <row r="5" spans="1:7" ht="25.05" customHeight="1">
      <c r="A5" s="6">
        <v>2</v>
      </c>
      <c r="B5" s="7" t="s">
        <v>127</v>
      </c>
      <c r="C5" s="6" t="s">
        <v>148</v>
      </c>
      <c r="D5" s="6" t="s">
        <v>209</v>
      </c>
      <c r="E5" s="8" t="s">
        <v>211</v>
      </c>
      <c r="F5" s="8">
        <v>20</v>
      </c>
      <c r="G5" s="8"/>
    </row>
    <row r="6" spans="1:7" ht="25.05" customHeight="1">
      <c r="A6" s="6">
        <v>3</v>
      </c>
      <c r="B6" s="7" t="s">
        <v>127</v>
      </c>
      <c r="C6" s="6" t="s">
        <v>148</v>
      </c>
      <c r="D6" s="6" t="s">
        <v>209</v>
      </c>
      <c r="E6" s="8" t="s">
        <v>212</v>
      </c>
      <c r="F6" s="8">
        <v>39</v>
      </c>
      <c r="G6" s="8"/>
    </row>
    <row r="7" spans="1:7" ht="25.05" customHeight="1">
      <c r="A7" s="6">
        <v>4</v>
      </c>
      <c r="B7" s="7" t="s">
        <v>127</v>
      </c>
      <c r="C7" s="6" t="s">
        <v>148</v>
      </c>
      <c r="D7" s="6" t="s">
        <v>209</v>
      </c>
      <c r="E7" s="8" t="s">
        <v>272</v>
      </c>
      <c r="F7" s="8">
        <v>39</v>
      </c>
      <c r="G7" s="8"/>
    </row>
    <row r="8" spans="1:7" ht="25.05" customHeight="1">
      <c r="A8" s="6">
        <v>5</v>
      </c>
      <c r="B8" s="7" t="s">
        <v>127</v>
      </c>
      <c r="C8" s="6" t="s">
        <v>148</v>
      </c>
      <c r="D8" s="6" t="s">
        <v>209</v>
      </c>
      <c r="E8" s="8" t="s">
        <v>214</v>
      </c>
      <c r="F8" s="8">
        <v>31</v>
      </c>
      <c r="G8" s="8"/>
    </row>
    <row r="9" spans="1:7" ht="25.05" customHeight="1">
      <c r="A9" s="6">
        <v>6</v>
      </c>
      <c r="B9" s="7" t="s">
        <v>127</v>
      </c>
      <c r="C9" s="6" t="s">
        <v>148</v>
      </c>
      <c r="D9" s="6" t="s">
        <v>209</v>
      </c>
      <c r="E9" s="8" t="s">
        <v>808</v>
      </c>
      <c r="F9" s="8">
        <v>50</v>
      </c>
      <c r="G9" s="8"/>
    </row>
    <row r="10" spans="1:7" ht="25.05" customHeight="1">
      <c r="A10" s="6">
        <v>7</v>
      </c>
      <c r="B10" s="7" t="s">
        <v>127</v>
      </c>
      <c r="C10" s="6" t="s">
        <v>148</v>
      </c>
      <c r="D10" s="6" t="s">
        <v>209</v>
      </c>
      <c r="E10" s="8" t="s">
        <v>400</v>
      </c>
      <c r="F10" s="8">
        <v>10</v>
      </c>
      <c r="G10" s="8"/>
    </row>
    <row r="11" spans="1:7" ht="25.05" customHeight="1">
      <c r="A11" s="6">
        <v>8</v>
      </c>
      <c r="B11" s="7" t="s">
        <v>127</v>
      </c>
      <c r="C11" s="6" t="s">
        <v>148</v>
      </c>
      <c r="D11" s="6" t="s">
        <v>209</v>
      </c>
      <c r="E11" s="81" t="s">
        <v>216</v>
      </c>
      <c r="F11" s="8">
        <v>50</v>
      </c>
      <c r="G11" s="8"/>
    </row>
    <row r="12" spans="1:7" ht="25.05" customHeight="1">
      <c r="A12" s="6">
        <v>9</v>
      </c>
      <c r="B12" s="7" t="s">
        <v>127</v>
      </c>
      <c r="C12" s="6" t="s">
        <v>148</v>
      </c>
      <c r="D12" s="6" t="s">
        <v>209</v>
      </c>
      <c r="E12" s="81" t="s">
        <v>799</v>
      </c>
      <c r="F12" s="8">
        <v>30</v>
      </c>
      <c r="G12" s="8"/>
    </row>
    <row r="13" spans="1:7" ht="25.05" customHeight="1">
      <c r="A13" s="6">
        <v>10</v>
      </c>
      <c r="B13" s="7" t="s">
        <v>127</v>
      </c>
      <c r="C13" s="6" t="s">
        <v>148</v>
      </c>
      <c r="D13" s="6" t="s">
        <v>209</v>
      </c>
      <c r="E13" s="8" t="s">
        <v>217</v>
      </c>
      <c r="F13" s="8">
        <v>75</v>
      </c>
      <c r="G13" s="8"/>
    </row>
    <row r="14" spans="1:7" ht="25.05" customHeight="1">
      <c r="A14" s="6">
        <v>11</v>
      </c>
      <c r="B14" s="7" t="s">
        <v>127</v>
      </c>
      <c r="C14" s="6" t="s">
        <v>148</v>
      </c>
      <c r="D14" s="3" t="s">
        <v>267</v>
      </c>
      <c r="E14" s="9" t="s">
        <v>800</v>
      </c>
      <c r="F14" s="9">
        <f>SUM(F4:F13)</f>
        <v>368</v>
      </c>
      <c r="G14" s="9"/>
    </row>
    <row r="15" spans="1:7" ht="25.05" customHeight="1">
      <c r="A15" s="237"/>
      <c r="B15" s="238"/>
      <c r="C15" s="238"/>
      <c r="D15" s="238"/>
      <c r="E15" s="238"/>
      <c r="F15" s="238"/>
      <c r="G15" s="239"/>
    </row>
    <row r="16" spans="1:7" ht="25.05" customHeight="1">
      <c r="A16" s="3" t="s">
        <v>203</v>
      </c>
      <c r="B16" s="4" t="s">
        <v>204</v>
      </c>
      <c r="C16" s="3" t="s">
        <v>205</v>
      </c>
      <c r="D16" s="3" t="s">
        <v>206</v>
      </c>
      <c r="E16" s="3" t="s">
        <v>207</v>
      </c>
      <c r="F16" s="5" t="s">
        <v>208</v>
      </c>
      <c r="G16" s="5" t="s">
        <v>11</v>
      </c>
    </row>
    <row r="17" spans="1:7" ht="25.05" customHeight="1">
      <c r="A17" s="6">
        <v>1</v>
      </c>
      <c r="B17" s="7" t="s">
        <v>127</v>
      </c>
      <c r="C17" s="6" t="s">
        <v>148</v>
      </c>
      <c r="D17" s="6" t="s">
        <v>401</v>
      </c>
      <c r="E17" s="8" t="s">
        <v>402</v>
      </c>
      <c r="F17" s="8">
        <v>44</v>
      </c>
      <c r="G17" s="8"/>
    </row>
    <row r="18" spans="1:7" ht="25.05" customHeight="1">
      <c r="A18" s="6">
        <v>2</v>
      </c>
      <c r="B18" s="7" t="s">
        <v>127</v>
      </c>
      <c r="C18" s="6" t="s">
        <v>148</v>
      </c>
      <c r="D18" s="6" t="s">
        <v>401</v>
      </c>
      <c r="E18" s="8" t="s">
        <v>403</v>
      </c>
      <c r="F18" s="8">
        <v>44</v>
      </c>
      <c r="G18" s="8"/>
    </row>
    <row r="19" spans="1:7" ht="25.05" customHeight="1">
      <c r="A19" s="6">
        <v>3</v>
      </c>
      <c r="B19" s="7" t="s">
        <v>127</v>
      </c>
      <c r="C19" s="6" t="s">
        <v>148</v>
      </c>
      <c r="D19" s="6" t="s">
        <v>401</v>
      </c>
      <c r="E19" s="8" t="s">
        <v>404</v>
      </c>
      <c r="F19" s="8">
        <v>160</v>
      </c>
      <c r="G19" s="8"/>
    </row>
    <row r="20" spans="1:7" ht="25.05" customHeight="1">
      <c r="A20" s="6">
        <v>4</v>
      </c>
      <c r="B20" s="7" t="s">
        <v>127</v>
      </c>
      <c r="C20" s="6" t="s">
        <v>148</v>
      </c>
      <c r="D20" s="6" t="s">
        <v>401</v>
      </c>
      <c r="E20" s="8" t="s">
        <v>408</v>
      </c>
      <c r="F20" s="8">
        <v>16</v>
      </c>
      <c r="G20" s="8"/>
    </row>
    <row r="21" spans="1:7" ht="25.05" customHeight="1">
      <c r="A21" s="6">
        <v>5</v>
      </c>
      <c r="B21" s="7" t="s">
        <v>127</v>
      </c>
      <c r="C21" s="6" t="s">
        <v>148</v>
      </c>
      <c r="D21" s="6" t="s">
        <v>401</v>
      </c>
      <c r="E21" s="8" t="s">
        <v>405</v>
      </c>
      <c r="F21" s="8">
        <v>80</v>
      </c>
      <c r="G21" s="8"/>
    </row>
    <row r="22" spans="1:7" ht="25.05" customHeight="1">
      <c r="A22" s="6">
        <v>6</v>
      </c>
      <c r="B22" s="7" t="s">
        <v>127</v>
      </c>
      <c r="C22" s="6" t="s">
        <v>148</v>
      </c>
      <c r="D22" s="6" t="s">
        <v>401</v>
      </c>
      <c r="E22" s="8" t="s">
        <v>406</v>
      </c>
      <c r="F22" s="8">
        <v>50</v>
      </c>
      <c r="G22" s="8"/>
    </row>
    <row r="23" spans="1:7" ht="25.05" customHeight="1">
      <c r="A23" s="6">
        <v>7</v>
      </c>
      <c r="B23" s="7" t="s">
        <v>127</v>
      </c>
      <c r="C23" s="6" t="s">
        <v>148</v>
      </c>
      <c r="D23" s="6" t="s">
        <v>401</v>
      </c>
      <c r="E23" s="8" t="s">
        <v>459</v>
      </c>
      <c r="F23" s="8">
        <v>300</v>
      </c>
      <c r="G23" s="8"/>
    </row>
    <row r="24" spans="1:7" ht="25.05" customHeight="1">
      <c r="A24" s="6">
        <v>8</v>
      </c>
      <c r="B24" s="7" t="s">
        <v>127</v>
      </c>
      <c r="C24" s="6" t="s">
        <v>148</v>
      </c>
      <c r="D24" s="3" t="s">
        <v>267</v>
      </c>
      <c r="E24" s="9" t="s">
        <v>801</v>
      </c>
      <c r="F24" s="9">
        <f>SUM(F17:F23)</f>
        <v>694</v>
      </c>
      <c r="G24" s="9"/>
    </row>
    <row r="25" spans="1:7" ht="25.05" customHeight="1">
      <c r="A25" s="220" t="s">
        <v>809</v>
      </c>
      <c r="B25" s="221"/>
      <c r="C25" s="221"/>
      <c r="D25" s="221"/>
      <c r="E25" s="221"/>
      <c r="F25" s="221"/>
      <c r="G25" s="222"/>
    </row>
    <row r="26" spans="1:7" ht="13.5" customHeight="1"/>
    <row r="27" spans="1:7" ht="13.5" customHeight="1"/>
    <row r="28" spans="1:7" ht="13.5" customHeight="1"/>
  </sheetData>
  <autoFilter ref="A3:G14" xr:uid="{00000000-0009-0000-0000-00002D000000}"/>
  <mergeCells count="4">
    <mergeCell ref="A1:G1"/>
    <mergeCell ref="A2:G2"/>
    <mergeCell ref="A15:G15"/>
    <mergeCell ref="A25:G25"/>
  </mergeCells>
  <phoneticPr fontId="23" type="noConversion"/>
  <pageMargins left="0.59055118110236204" right="0.196850393700787" top="0.31496062992126" bottom="0.511811023622047" header="0.31496062992126" footer="0.31496062992126"/>
  <pageSetup paperSize="9" orientation="portrait" verticalDpi="300" r:id="rId1"/>
  <headerFooter>
    <oddFooter>&amp;C&amp;8第 &amp;P 页，共 &amp;N 页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G29"/>
  <sheetViews>
    <sheetView view="pageBreakPreview" zoomScale="130" zoomScaleNormal="100" workbookViewId="0">
      <pane ySplit="3" topLeftCell="A4" activePane="bottomLeft" state="frozen"/>
      <selection pane="bottomLeft" activeCell="A2" sqref="A2:G2"/>
    </sheetView>
  </sheetViews>
  <sheetFormatPr defaultColWidth="9" defaultRowHeight="15.75"/>
  <cols>
    <col min="1" max="1" width="5.46484375" style="2" customWidth="1"/>
    <col min="2" max="2" width="18.33203125" style="93" customWidth="1"/>
    <col min="3" max="3" width="20.796875" style="94" customWidth="1"/>
    <col min="4" max="4" width="7" style="95" customWidth="1"/>
    <col min="5" max="5" width="4.53125" style="93" customWidth="1"/>
    <col min="6" max="6" width="5.46484375" style="94" customWidth="1"/>
    <col min="7" max="7" width="34.265625" style="93" customWidth="1"/>
  </cols>
  <sheetData>
    <row r="1" spans="1:7" ht="25.05" customHeight="1">
      <c r="A1" s="215" t="s">
        <v>810</v>
      </c>
      <c r="B1" s="215"/>
      <c r="C1" s="215"/>
      <c r="D1" s="215"/>
      <c r="E1" s="215"/>
      <c r="F1" s="215"/>
      <c r="G1" s="215"/>
    </row>
    <row r="2" spans="1:7" ht="25.05" customHeight="1">
      <c r="A2" s="217" t="s">
        <v>811</v>
      </c>
      <c r="B2" s="217"/>
      <c r="C2" s="217"/>
      <c r="D2" s="217"/>
      <c r="E2" s="217"/>
      <c r="F2" s="217"/>
      <c r="G2" s="217"/>
    </row>
    <row r="3" spans="1:7" s="91" customFormat="1" ht="29.55" customHeight="1">
      <c r="A3" s="3" t="s">
        <v>203</v>
      </c>
      <c r="B3" s="4" t="s">
        <v>207</v>
      </c>
      <c r="C3" s="3" t="s">
        <v>205</v>
      </c>
      <c r="D3" s="5" t="s">
        <v>4</v>
      </c>
      <c r="E3" s="3" t="s">
        <v>6</v>
      </c>
      <c r="F3" s="5" t="s">
        <v>208</v>
      </c>
      <c r="G3" s="5" t="s">
        <v>11</v>
      </c>
    </row>
    <row r="4" spans="1:7" ht="25.05" customHeight="1">
      <c r="A4" s="7" t="s">
        <v>812</v>
      </c>
      <c r="B4" s="96" t="s">
        <v>813</v>
      </c>
      <c r="C4" s="24" t="s">
        <v>814</v>
      </c>
      <c r="D4" s="82"/>
      <c r="E4" s="6" t="s">
        <v>142</v>
      </c>
      <c r="F4" s="25">
        <v>10</v>
      </c>
      <c r="G4" s="96" t="s">
        <v>815</v>
      </c>
    </row>
    <row r="5" spans="1:7" ht="80.55" customHeight="1">
      <c r="A5" s="7" t="s">
        <v>816</v>
      </c>
      <c r="B5" s="96" t="s">
        <v>817</v>
      </c>
      <c r="C5" s="24" t="s">
        <v>818</v>
      </c>
      <c r="D5" s="6" t="s">
        <v>814</v>
      </c>
      <c r="E5" s="6" t="s">
        <v>819</v>
      </c>
      <c r="F5" s="25">
        <v>65</v>
      </c>
      <c r="G5" s="96" t="s">
        <v>820</v>
      </c>
    </row>
    <row r="6" spans="1:7" ht="25.05" customHeight="1">
      <c r="A6" s="7" t="s">
        <v>821</v>
      </c>
      <c r="B6" s="96" t="s">
        <v>264</v>
      </c>
      <c r="C6" s="24" t="s">
        <v>822</v>
      </c>
      <c r="D6" s="6" t="s">
        <v>814</v>
      </c>
      <c r="E6" s="6" t="s">
        <v>16</v>
      </c>
      <c r="F6" s="25">
        <v>50</v>
      </c>
      <c r="G6" s="96" t="s">
        <v>823</v>
      </c>
    </row>
    <row r="7" spans="1:7" ht="25.05" customHeight="1">
      <c r="A7" s="7" t="s">
        <v>824</v>
      </c>
      <c r="B7" s="96" t="s">
        <v>825</v>
      </c>
      <c r="C7" s="24" t="s">
        <v>822</v>
      </c>
      <c r="D7" s="6" t="s">
        <v>814</v>
      </c>
      <c r="E7" s="6" t="s">
        <v>16</v>
      </c>
      <c r="F7" s="25">
        <v>10</v>
      </c>
      <c r="G7" s="96" t="s">
        <v>826</v>
      </c>
    </row>
    <row r="8" spans="1:7" ht="25.05" customHeight="1">
      <c r="A8" s="7" t="s">
        <v>827</v>
      </c>
      <c r="B8" s="96" t="s">
        <v>828</v>
      </c>
      <c r="C8" s="24" t="s">
        <v>818</v>
      </c>
      <c r="D8" s="6" t="s">
        <v>814</v>
      </c>
      <c r="E8" s="6" t="s">
        <v>819</v>
      </c>
      <c r="F8" s="25">
        <v>10</v>
      </c>
      <c r="G8" s="96" t="s">
        <v>829</v>
      </c>
    </row>
    <row r="9" spans="1:7" ht="25.05" customHeight="1">
      <c r="A9" s="7" t="s">
        <v>830</v>
      </c>
      <c r="B9" s="96" t="s">
        <v>831</v>
      </c>
      <c r="C9" s="24"/>
      <c r="D9" s="6" t="s">
        <v>814</v>
      </c>
      <c r="E9" s="6" t="s">
        <v>142</v>
      </c>
      <c r="F9" s="25">
        <v>30</v>
      </c>
      <c r="G9" s="81" t="s">
        <v>832</v>
      </c>
    </row>
    <row r="10" spans="1:7" ht="25.05" customHeight="1">
      <c r="A10" s="7" t="s">
        <v>833</v>
      </c>
      <c r="B10" s="96" t="s">
        <v>834</v>
      </c>
      <c r="C10" s="24"/>
      <c r="D10" s="6" t="s">
        <v>814</v>
      </c>
      <c r="E10" s="6" t="s">
        <v>142</v>
      </c>
      <c r="F10" s="25">
        <v>30</v>
      </c>
      <c r="G10" s="81"/>
    </row>
    <row r="11" spans="1:7" ht="25.05" customHeight="1">
      <c r="A11" s="7" t="s">
        <v>835</v>
      </c>
      <c r="B11" s="96" t="s">
        <v>836</v>
      </c>
      <c r="C11" s="24" t="s">
        <v>837</v>
      </c>
      <c r="D11" s="6" t="s">
        <v>814</v>
      </c>
      <c r="E11" s="6" t="s">
        <v>819</v>
      </c>
      <c r="F11" s="25">
        <v>5</v>
      </c>
      <c r="G11" s="81" t="s">
        <v>838</v>
      </c>
    </row>
    <row r="12" spans="1:7" ht="25.05" customHeight="1">
      <c r="A12" s="7" t="s">
        <v>839</v>
      </c>
      <c r="B12" s="96"/>
      <c r="C12" s="24"/>
      <c r="D12" s="6" t="s">
        <v>814</v>
      </c>
      <c r="E12" s="6"/>
      <c r="F12" s="25">
        <v>30</v>
      </c>
      <c r="G12" s="96" t="s">
        <v>840</v>
      </c>
    </row>
    <row r="13" spans="1:7" ht="25.05" customHeight="1">
      <c r="A13" s="7" t="s">
        <v>42</v>
      </c>
      <c r="B13" s="96" t="s">
        <v>609</v>
      </c>
      <c r="C13" s="24" t="s">
        <v>814</v>
      </c>
      <c r="D13" s="6" t="s">
        <v>841</v>
      </c>
      <c r="E13" s="6" t="s">
        <v>819</v>
      </c>
      <c r="F13" s="25">
        <v>2.5</v>
      </c>
      <c r="G13" s="81" t="s">
        <v>842</v>
      </c>
    </row>
    <row r="14" spans="1:7" ht="25.05" customHeight="1">
      <c r="A14" s="7" t="s">
        <v>44</v>
      </c>
      <c r="B14" s="96" t="s">
        <v>843</v>
      </c>
      <c r="C14" s="24" t="s">
        <v>818</v>
      </c>
      <c r="D14" s="97" t="s">
        <v>814</v>
      </c>
      <c r="E14" s="6" t="s">
        <v>819</v>
      </c>
      <c r="F14" s="25">
        <v>60</v>
      </c>
      <c r="G14" s="81" t="s">
        <v>844</v>
      </c>
    </row>
    <row r="15" spans="1:7" ht="25.05" customHeight="1">
      <c r="A15" s="7" t="s">
        <v>47</v>
      </c>
      <c r="B15" s="96"/>
      <c r="C15" s="24"/>
      <c r="D15" s="97" t="s">
        <v>814</v>
      </c>
      <c r="E15" s="6"/>
      <c r="F15" s="25">
        <v>5</v>
      </c>
      <c r="G15" s="81" t="s">
        <v>845</v>
      </c>
    </row>
    <row r="16" spans="1:7" ht="25.05" customHeight="1">
      <c r="A16" s="7" t="s">
        <v>49</v>
      </c>
      <c r="B16" s="96" t="s">
        <v>846</v>
      </c>
      <c r="C16" s="24" t="s">
        <v>818</v>
      </c>
      <c r="D16" s="97" t="s">
        <v>814</v>
      </c>
      <c r="E16" s="6" t="s">
        <v>819</v>
      </c>
      <c r="F16" s="25">
        <v>0.7</v>
      </c>
      <c r="G16" s="96" t="s">
        <v>847</v>
      </c>
    </row>
    <row r="17" spans="1:7" ht="25.05" customHeight="1">
      <c r="A17" s="7" t="s">
        <v>51</v>
      </c>
      <c r="B17" s="96" t="s">
        <v>848</v>
      </c>
      <c r="C17" s="24" t="s">
        <v>818</v>
      </c>
      <c r="D17" s="97" t="s">
        <v>814</v>
      </c>
      <c r="E17" s="6" t="s">
        <v>16</v>
      </c>
      <c r="F17" s="25">
        <v>25</v>
      </c>
      <c r="G17" s="81" t="s">
        <v>849</v>
      </c>
    </row>
    <row r="18" spans="1:7" ht="25.05" customHeight="1">
      <c r="A18" s="7" t="s">
        <v>53</v>
      </c>
      <c r="B18" s="96" t="s">
        <v>850</v>
      </c>
      <c r="C18" s="24"/>
      <c r="D18" s="97" t="s">
        <v>814</v>
      </c>
      <c r="E18" s="6" t="s">
        <v>16</v>
      </c>
      <c r="F18" s="25">
        <v>30</v>
      </c>
      <c r="G18" s="98" t="s">
        <v>851</v>
      </c>
    </row>
    <row r="19" spans="1:7" ht="25.05" customHeight="1">
      <c r="A19" s="7" t="s">
        <v>55</v>
      </c>
      <c r="B19" s="96" t="s">
        <v>852</v>
      </c>
      <c r="C19" s="24" t="s">
        <v>818</v>
      </c>
      <c r="D19" s="97" t="s">
        <v>814</v>
      </c>
      <c r="E19" s="6" t="s">
        <v>16</v>
      </c>
      <c r="F19" s="25">
        <v>15</v>
      </c>
      <c r="G19" s="98" t="s">
        <v>851</v>
      </c>
    </row>
    <row r="20" spans="1:7" ht="33.5" customHeight="1">
      <c r="A20" s="7" t="s">
        <v>60</v>
      </c>
      <c r="B20" s="96" t="s">
        <v>853</v>
      </c>
      <c r="C20" s="24" t="s">
        <v>818</v>
      </c>
      <c r="D20" s="97" t="s">
        <v>814</v>
      </c>
      <c r="E20" s="6" t="s">
        <v>16</v>
      </c>
      <c r="F20" s="25">
        <v>15</v>
      </c>
      <c r="G20" s="98" t="s">
        <v>851</v>
      </c>
    </row>
    <row r="21" spans="1:7" ht="25.05" customHeight="1">
      <c r="A21" s="7" t="s">
        <v>64</v>
      </c>
      <c r="B21" s="96" t="s">
        <v>854</v>
      </c>
      <c r="C21" s="24" t="s">
        <v>818</v>
      </c>
      <c r="D21" s="97" t="s">
        <v>814</v>
      </c>
      <c r="E21" s="6" t="s">
        <v>855</v>
      </c>
      <c r="F21" s="25">
        <v>1.5</v>
      </c>
      <c r="G21" s="81"/>
    </row>
    <row r="22" spans="1:7" ht="32" customHeight="1">
      <c r="A22" s="7" t="s">
        <v>66</v>
      </c>
      <c r="B22" s="96" t="s">
        <v>856</v>
      </c>
      <c r="C22" s="24" t="s">
        <v>818</v>
      </c>
      <c r="D22" s="97" t="s">
        <v>814</v>
      </c>
      <c r="E22" s="6" t="s">
        <v>16</v>
      </c>
      <c r="F22" s="25">
        <v>20</v>
      </c>
      <c r="G22" s="81"/>
    </row>
    <row r="23" spans="1:7" ht="25.05" customHeight="1">
      <c r="A23" s="7" t="s">
        <v>69</v>
      </c>
      <c r="B23" s="96" t="s">
        <v>857</v>
      </c>
      <c r="C23" s="24"/>
      <c r="D23" s="6"/>
      <c r="E23" s="6" t="s">
        <v>858</v>
      </c>
      <c r="F23" s="99" t="s">
        <v>827</v>
      </c>
      <c r="G23" s="96" t="s">
        <v>859</v>
      </c>
    </row>
    <row r="24" spans="1:7" ht="25.05" customHeight="1">
      <c r="A24" s="7" t="s">
        <v>71</v>
      </c>
      <c r="B24" s="96" t="s">
        <v>860</v>
      </c>
      <c r="C24" s="24"/>
      <c r="D24" s="6"/>
      <c r="E24" s="6" t="s">
        <v>858</v>
      </c>
      <c r="F24" s="99" t="s">
        <v>835</v>
      </c>
      <c r="G24" s="81" t="s">
        <v>861</v>
      </c>
    </row>
    <row r="25" spans="1:7" ht="25.05" customHeight="1">
      <c r="A25" s="7" t="s">
        <v>74</v>
      </c>
      <c r="B25" s="96" t="s">
        <v>862</v>
      </c>
      <c r="C25" s="24" t="s">
        <v>814</v>
      </c>
      <c r="D25" s="6"/>
      <c r="E25" s="6" t="s">
        <v>142</v>
      </c>
      <c r="F25" s="99" t="s">
        <v>839</v>
      </c>
      <c r="G25" s="81"/>
    </row>
    <row r="26" spans="1:7" ht="25.05" customHeight="1">
      <c r="A26" s="220" t="s">
        <v>796</v>
      </c>
      <c r="B26" s="221"/>
      <c r="C26" s="221"/>
      <c r="D26" s="221"/>
      <c r="E26" s="221"/>
      <c r="F26" s="221"/>
      <c r="G26" s="222"/>
    </row>
    <row r="27" spans="1:7" ht="25.05" customHeight="1">
      <c r="F27" s="73"/>
    </row>
    <row r="28" spans="1:7" ht="13.5" customHeight="1">
      <c r="F28" s="73"/>
    </row>
    <row r="29" spans="1:7" s="92" customFormat="1" ht="13.5" customHeight="1">
      <c r="A29" s="2"/>
      <c r="B29" s="93"/>
      <c r="C29" s="94"/>
      <c r="D29" s="95"/>
      <c r="E29" s="93"/>
      <c r="F29" s="73"/>
      <c r="G29" s="93"/>
    </row>
  </sheetData>
  <autoFilter ref="A3:G26" xr:uid="{00000000-0009-0000-0000-00002E000000}"/>
  <mergeCells count="3">
    <mergeCell ref="A1:G1"/>
    <mergeCell ref="A2:G2"/>
    <mergeCell ref="A26:G26"/>
  </mergeCells>
  <phoneticPr fontId="23" type="noConversion"/>
  <pageMargins left="0.59055118110236204" right="0.15748031496063" top="0.31496062992126" bottom="0.39370078740157499" header="0.31496062992126" footer="0.196850393700787"/>
  <pageSetup paperSize="9" orientation="portrait" r:id="rId1"/>
  <headerFooter>
    <oddFooter>&amp;C&amp;8第 &amp;P 页，共 &amp;N 页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60"/>
  <sheetViews>
    <sheetView view="pageBreakPreview" zoomScale="115" zoomScaleNormal="100" workbookViewId="0">
      <pane ySplit="3" topLeftCell="A4" activePane="bottomLeft" state="frozen"/>
      <selection pane="bottomLeft" activeCell="G57" sqref="G57"/>
    </sheetView>
  </sheetViews>
  <sheetFormatPr defaultColWidth="9" defaultRowHeight="15.75"/>
  <cols>
    <col min="1" max="1" width="3.73046875" style="13" customWidth="1"/>
    <col min="2" max="2" width="8.796875" style="14" customWidth="1"/>
    <col min="3" max="3" width="10.9296875" style="13" customWidth="1"/>
    <col min="4" max="4" width="12.53125" style="13" customWidth="1"/>
    <col min="5" max="5" width="43.06640625" style="13" customWidth="1"/>
    <col min="6" max="6" width="7.46484375" style="15" customWidth="1"/>
    <col min="7" max="7" width="8.46484375" style="13" customWidth="1"/>
    <col min="8" max="16384" width="9" style="16"/>
  </cols>
  <sheetData>
    <row r="1" spans="1:7" ht="25.05" customHeight="1">
      <c r="A1" s="215" t="s">
        <v>863</v>
      </c>
      <c r="B1" s="215"/>
      <c r="C1" s="215"/>
      <c r="D1" s="215"/>
      <c r="E1" s="215"/>
      <c r="F1" s="235"/>
      <c r="G1" s="235"/>
    </row>
    <row r="2" spans="1:7" ht="25.05" customHeight="1">
      <c r="A2" s="230" t="s">
        <v>864</v>
      </c>
      <c r="B2" s="230"/>
      <c r="C2" s="230"/>
      <c r="D2" s="230"/>
      <c r="E2" s="230"/>
      <c r="F2" s="230"/>
      <c r="G2" s="230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153</v>
      </c>
      <c r="D4" s="20" t="s">
        <v>209</v>
      </c>
      <c r="E4" s="22" t="s">
        <v>210</v>
      </c>
      <c r="F4" s="23">
        <v>19</v>
      </c>
      <c r="G4" s="22"/>
    </row>
    <row r="5" spans="1:7" ht="25.05" customHeight="1">
      <c r="A5" s="20">
        <v>2</v>
      </c>
      <c r="B5" s="21" t="s">
        <v>32</v>
      </c>
      <c r="C5" s="20" t="s">
        <v>153</v>
      </c>
      <c r="D5" s="20" t="s">
        <v>209</v>
      </c>
      <c r="E5" s="22" t="s">
        <v>211</v>
      </c>
      <c r="F5" s="23">
        <v>15</v>
      </c>
      <c r="G5" s="22"/>
    </row>
    <row r="6" spans="1:7" ht="25.05" customHeight="1">
      <c r="A6" s="20">
        <v>3</v>
      </c>
      <c r="B6" s="21" t="s">
        <v>32</v>
      </c>
      <c r="C6" s="20" t="s">
        <v>153</v>
      </c>
      <c r="D6" s="20" t="s">
        <v>209</v>
      </c>
      <c r="E6" s="22" t="s">
        <v>212</v>
      </c>
      <c r="F6" s="23">
        <v>34</v>
      </c>
      <c r="G6" s="22"/>
    </row>
    <row r="7" spans="1:7" ht="25.05" customHeight="1">
      <c r="A7" s="20">
        <v>4</v>
      </c>
      <c r="B7" s="21" t="s">
        <v>32</v>
      </c>
      <c r="C7" s="20" t="s">
        <v>153</v>
      </c>
      <c r="D7" s="20" t="s">
        <v>209</v>
      </c>
      <c r="E7" s="22" t="s">
        <v>272</v>
      </c>
      <c r="F7" s="23">
        <v>34</v>
      </c>
      <c r="G7" s="22"/>
    </row>
    <row r="8" spans="1:7" ht="25.05" customHeight="1">
      <c r="A8" s="20">
        <v>5</v>
      </c>
      <c r="B8" s="21" t="s">
        <v>32</v>
      </c>
      <c r="C8" s="20" t="s">
        <v>153</v>
      </c>
      <c r="D8" s="20" t="s">
        <v>209</v>
      </c>
      <c r="E8" s="22" t="s">
        <v>214</v>
      </c>
      <c r="F8" s="23">
        <v>26</v>
      </c>
      <c r="G8" s="22"/>
    </row>
    <row r="9" spans="1:7" ht="25.05" customHeight="1">
      <c r="A9" s="20">
        <v>6</v>
      </c>
      <c r="B9" s="21" t="s">
        <v>32</v>
      </c>
      <c r="C9" s="20" t="s">
        <v>153</v>
      </c>
      <c r="D9" s="20" t="s">
        <v>209</v>
      </c>
      <c r="E9" s="22" t="s">
        <v>312</v>
      </c>
      <c r="F9" s="23">
        <v>10</v>
      </c>
      <c r="G9" s="22"/>
    </row>
    <row r="10" spans="1:7" ht="25.05" customHeight="1">
      <c r="A10" s="20">
        <v>7</v>
      </c>
      <c r="B10" s="21" t="s">
        <v>32</v>
      </c>
      <c r="C10" s="20" t="s">
        <v>153</v>
      </c>
      <c r="D10" s="20" t="s">
        <v>209</v>
      </c>
      <c r="E10" s="22" t="s">
        <v>216</v>
      </c>
      <c r="F10" s="23">
        <v>35</v>
      </c>
      <c r="G10" s="22"/>
    </row>
    <row r="11" spans="1:7" ht="25.05" customHeight="1">
      <c r="A11" s="20">
        <v>8</v>
      </c>
      <c r="B11" s="21" t="s">
        <v>32</v>
      </c>
      <c r="C11" s="20" t="s">
        <v>153</v>
      </c>
      <c r="D11" s="20" t="s">
        <v>209</v>
      </c>
      <c r="E11" s="22" t="s">
        <v>292</v>
      </c>
      <c r="F11" s="23">
        <v>12</v>
      </c>
      <c r="G11" s="22"/>
    </row>
    <row r="12" spans="1:7" ht="25.05" customHeight="1">
      <c r="A12" s="20">
        <v>9</v>
      </c>
      <c r="B12" s="21" t="s">
        <v>32</v>
      </c>
      <c r="C12" s="20" t="s">
        <v>153</v>
      </c>
      <c r="D12" s="20" t="s">
        <v>209</v>
      </c>
      <c r="E12" s="22" t="s">
        <v>217</v>
      </c>
      <c r="F12" s="23">
        <v>55</v>
      </c>
      <c r="G12" s="22"/>
    </row>
    <row r="13" spans="1:7" ht="25.05" customHeight="1">
      <c r="A13" s="20">
        <v>10</v>
      </c>
      <c r="B13" s="21" t="s">
        <v>32</v>
      </c>
      <c r="C13" s="20" t="s">
        <v>153</v>
      </c>
      <c r="D13" s="20" t="s">
        <v>209</v>
      </c>
      <c r="E13" s="22" t="s">
        <v>218</v>
      </c>
      <c r="F13" s="23">
        <v>10</v>
      </c>
      <c r="G13" s="22"/>
    </row>
    <row r="14" spans="1:7" ht="25.05" customHeight="1">
      <c r="A14" s="20">
        <v>11</v>
      </c>
      <c r="B14" s="21" t="s">
        <v>32</v>
      </c>
      <c r="C14" s="20" t="s">
        <v>153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7" ht="25.05" customHeight="1">
      <c r="A15" s="20">
        <v>12</v>
      </c>
      <c r="B15" s="21" t="s">
        <v>32</v>
      </c>
      <c r="C15" s="20" t="s">
        <v>153</v>
      </c>
      <c r="D15" s="20" t="s">
        <v>221</v>
      </c>
      <c r="E15" s="22" t="s">
        <v>222</v>
      </c>
      <c r="F15" s="23">
        <v>14</v>
      </c>
      <c r="G15" s="22"/>
    </row>
    <row r="16" spans="1:7" ht="25.05" customHeight="1">
      <c r="A16" s="20">
        <v>13</v>
      </c>
      <c r="B16" s="21" t="s">
        <v>32</v>
      </c>
      <c r="C16" s="20" t="s">
        <v>153</v>
      </c>
      <c r="D16" s="20" t="s">
        <v>221</v>
      </c>
      <c r="E16" s="22" t="s">
        <v>223</v>
      </c>
      <c r="F16" s="23">
        <v>22</v>
      </c>
      <c r="G16" s="22"/>
    </row>
    <row r="17" spans="1:7" ht="25.05" customHeight="1">
      <c r="A17" s="20">
        <v>14</v>
      </c>
      <c r="B17" s="21" t="s">
        <v>32</v>
      </c>
      <c r="C17" s="20" t="s">
        <v>153</v>
      </c>
      <c r="D17" s="20" t="s">
        <v>221</v>
      </c>
      <c r="E17" s="22" t="s">
        <v>224</v>
      </c>
      <c r="F17" s="23">
        <v>9</v>
      </c>
      <c r="G17" s="22"/>
    </row>
    <row r="18" spans="1:7" ht="25.05" customHeight="1">
      <c r="A18" s="20">
        <v>15</v>
      </c>
      <c r="B18" s="21" t="s">
        <v>32</v>
      </c>
      <c r="C18" s="20" t="s">
        <v>153</v>
      </c>
      <c r="D18" s="20" t="s">
        <v>221</v>
      </c>
      <c r="E18" s="22" t="s">
        <v>225</v>
      </c>
      <c r="F18" s="23">
        <v>20</v>
      </c>
      <c r="G18" s="22"/>
    </row>
    <row r="19" spans="1:7" ht="25.05" customHeight="1">
      <c r="A19" s="20">
        <v>16</v>
      </c>
      <c r="B19" s="21" t="s">
        <v>32</v>
      </c>
      <c r="C19" s="20" t="s">
        <v>153</v>
      </c>
      <c r="D19" s="20" t="s">
        <v>221</v>
      </c>
      <c r="E19" s="22" t="s">
        <v>226</v>
      </c>
      <c r="F19" s="23">
        <v>22</v>
      </c>
      <c r="G19" s="22"/>
    </row>
    <row r="20" spans="1:7" ht="25.05" customHeight="1">
      <c r="A20" s="20">
        <v>17</v>
      </c>
      <c r="B20" s="21" t="s">
        <v>32</v>
      </c>
      <c r="C20" s="20" t="s">
        <v>153</v>
      </c>
      <c r="D20" s="20" t="s">
        <v>221</v>
      </c>
      <c r="E20" s="22" t="s">
        <v>391</v>
      </c>
      <c r="F20" s="23">
        <v>20</v>
      </c>
      <c r="G20" s="22"/>
    </row>
    <row r="21" spans="1:7" ht="25.05" customHeight="1">
      <c r="A21" s="20">
        <v>18</v>
      </c>
      <c r="B21" s="21" t="s">
        <v>32</v>
      </c>
      <c r="C21" s="20" t="s">
        <v>153</v>
      </c>
      <c r="D21" s="20" t="s">
        <v>221</v>
      </c>
      <c r="E21" s="22" t="s">
        <v>380</v>
      </c>
      <c r="F21" s="23">
        <v>12</v>
      </c>
      <c r="G21" s="22"/>
    </row>
    <row r="22" spans="1:7" ht="25.05" customHeight="1">
      <c r="A22" s="20">
        <v>19</v>
      </c>
      <c r="B22" s="21" t="s">
        <v>32</v>
      </c>
      <c r="C22" s="20" t="s">
        <v>153</v>
      </c>
      <c r="D22" s="17" t="s">
        <v>219</v>
      </c>
      <c r="E22" s="36" t="s">
        <v>228</v>
      </c>
      <c r="F22" s="61">
        <f>SUM(F15:F21)</f>
        <v>119</v>
      </c>
      <c r="G22" s="36"/>
    </row>
    <row r="23" spans="1:7" ht="25.05" customHeight="1">
      <c r="A23" s="20">
        <v>20</v>
      </c>
      <c r="B23" s="21" t="s">
        <v>32</v>
      </c>
      <c r="C23" s="20" t="s">
        <v>153</v>
      </c>
      <c r="D23" s="20" t="s">
        <v>229</v>
      </c>
      <c r="E23" s="22" t="s">
        <v>230</v>
      </c>
      <c r="F23" s="23">
        <v>14</v>
      </c>
      <c r="G23" s="22"/>
    </row>
    <row r="24" spans="1:7" ht="25.05" customHeight="1">
      <c r="A24" s="20">
        <v>21</v>
      </c>
      <c r="B24" s="21" t="s">
        <v>32</v>
      </c>
      <c r="C24" s="20" t="s">
        <v>153</v>
      </c>
      <c r="D24" s="20" t="s">
        <v>229</v>
      </c>
      <c r="E24" s="22" t="s">
        <v>231</v>
      </c>
      <c r="F24" s="23">
        <v>32</v>
      </c>
      <c r="G24" s="22"/>
    </row>
    <row r="25" spans="1:7" ht="25.05" customHeight="1">
      <c r="A25" s="20">
        <v>22</v>
      </c>
      <c r="B25" s="21" t="s">
        <v>32</v>
      </c>
      <c r="C25" s="20" t="s">
        <v>153</v>
      </c>
      <c r="D25" s="20" t="s">
        <v>229</v>
      </c>
      <c r="E25" s="22" t="s">
        <v>232</v>
      </c>
      <c r="F25" s="23">
        <v>18</v>
      </c>
      <c r="G25" s="22"/>
    </row>
    <row r="26" spans="1:7" ht="25.05" customHeight="1">
      <c r="A26" s="20">
        <v>23</v>
      </c>
      <c r="B26" s="21" t="s">
        <v>32</v>
      </c>
      <c r="C26" s="20" t="s">
        <v>153</v>
      </c>
      <c r="D26" s="20" t="s">
        <v>229</v>
      </c>
      <c r="E26" s="22" t="s">
        <v>233</v>
      </c>
      <c r="F26" s="23">
        <v>25</v>
      </c>
      <c r="G26" s="22"/>
    </row>
    <row r="27" spans="1:7" ht="25.05" customHeight="1">
      <c r="A27" s="20">
        <v>24</v>
      </c>
      <c r="B27" s="21" t="s">
        <v>32</v>
      </c>
      <c r="C27" s="20" t="s">
        <v>153</v>
      </c>
      <c r="D27" s="20" t="s">
        <v>229</v>
      </c>
      <c r="E27" s="22" t="s">
        <v>234</v>
      </c>
      <c r="F27" s="23">
        <v>19</v>
      </c>
      <c r="G27" s="22"/>
    </row>
    <row r="28" spans="1:7" ht="25.05" customHeight="1">
      <c r="A28" s="20">
        <v>25</v>
      </c>
      <c r="B28" s="21" t="s">
        <v>32</v>
      </c>
      <c r="C28" s="20" t="s">
        <v>153</v>
      </c>
      <c r="D28" s="20" t="s">
        <v>229</v>
      </c>
      <c r="E28" s="22" t="s">
        <v>235</v>
      </c>
      <c r="F28" s="23">
        <v>10</v>
      </c>
      <c r="G28" s="22"/>
    </row>
    <row r="29" spans="1:7" ht="25.05" customHeight="1">
      <c r="A29" s="20">
        <v>26</v>
      </c>
      <c r="B29" s="21" t="s">
        <v>32</v>
      </c>
      <c r="C29" s="20" t="s">
        <v>153</v>
      </c>
      <c r="D29" s="20" t="s">
        <v>229</v>
      </c>
      <c r="E29" s="22" t="s">
        <v>237</v>
      </c>
      <c r="F29" s="23">
        <v>8</v>
      </c>
      <c r="G29" s="22"/>
    </row>
    <row r="30" spans="1:7" ht="25.05" customHeight="1">
      <c r="A30" s="20">
        <v>27</v>
      </c>
      <c r="B30" s="21" t="s">
        <v>32</v>
      </c>
      <c r="C30" s="20" t="s">
        <v>153</v>
      </c>
      <c r="D30" s="20" t="s">
        <v>229</v>
      </c>
      <c r="E30" s="22" t="s">
        <v>385</v>
      </c>
      <c r="F30" s="23">
        <v>18</v>
      </c>
      <c r="G30" s="22"/>
    </row>
    <row r="31" spans="1:7" ht="25.05" customHeight="1">
      <c r="A31" s="20">
        <v>28</v>
      </c>
      <c r="B31" s="21" t="s">
        <v>32</v>
      </c>
      <c r="C31" s="20" t="s">
        <v>153</v>
      </c>
      <c r="D31" s="17" t="s">
        <v>219</v>
      </c>
      <c r="E31" s="36" t="s">
        <v>238</v>
      </c>
      <c r="F31" s="61">
        <f>SUM(F23:F30)</f>
        <v>144</v>
      </c>
      <c r="G31" s="36"/>
    </row>
    <row r="32" spans="1:7" ht="25.05" customHeight="1">
      <c r="A32" s="20">
        <v>29</v>
      </c>
      <c r="B32" s="21" t="s">
        <v>32</v>
      </c>
      <c r="C32" s="20" t="s">
        <v>153</v>
      </c>
      <c r="D32" s="20" t="s">
        <v>239</v>
      </c>
      <c r="E32" s="22" t="s">
        <v>240</v>
      </c>
      <c r="F32" s="23">
        <v>70</v>
      </c>
      <c r="G32" s="22"/>
    </row>
    <row r="33" spans="1:7" ht="25.05" customHeight="1">
      <c r="A33" s="20">
        <v>30</v>
      </c>
      <c r="B33" s="21" t="s">
        <v>32</v>
      </c>
      <c r="C33" s="20" t="s">
        <v>153</v>
      </c>
      <c r="D33" s="20" t="s">
        <v>239</v>
      </c>
      <c r="E33" s="22" t="s">
        <v>241</v>
      </c>
      <c r="F33" s="23">
        <v>60</v>
      </c>
      <c r="G33" s="22"/>
    </row>
    <row r="34" spans="1:7" ht="25.05" customHeight="1">
      <c r="A34" s="20">
        <v>31</v>
      </c>
      <c r="B34" s="21" t="s">
        <v>32</v>
      </c>
      <c r="C34" s="20" t="s">
        <v>153</v>
      </c>
      <c r="D34" s="17" t="s">
        <v>219</v>
      </c>
      <c r="E34" s="36" t="s">
        <v>242</v>
      </c>
      <c r="F34" s="61">
        <f>SUM(F32:F33)</f>
        <v>130</v>
      </c>
      <c r="G34" s="36"/>
    </row>
    <row r="35" spans="1:7" ht="25.05" customHeight="1">
      <c r="A35" s="20">
        <v>32</v>
      </c>
      <c r="B35" s="21" t="s">
        <v>32</v>
      </c>
      <c r="C35" s="20" t="s">
        <v>153</v>
      </c>
      <c r="D35" s="20" t="s">
        <v>259</v>
      </c>
      <c r="E35" s="22" t="s">
        <v>276</v>
      </c>
      <c r="F35" s="40">
        <v>10</v>
      </c>
      <c r="G35" s="22"/>
    </row>
    <row r="36" spans="1:7" ht="25.05" customHeight="1">
      <c r="A36" s="20">
        <v>33</v>
      </c>
      <c r="B36" s="21" t="s">
        <v>32</v>
      </c>
      <c r="C36" s="20" t="s">
        <v>153</v>
      </c>
      <c r="D36" s="17" t="s">
        <v>219</v>
      </c>
      <c r="E36" s="36" t="s">
        <v>261</v>
      </c>
      <c r="F36" s="37">
        <f>SUM(F35)</f>
        <v>10</v>
      </c>
      <c r="G36" s="36"/>
    </row>
    <row r="37" spans="1:7" ht="25.05" customHeight="1">
      <c r="A37" s="20">
        <v>34</v>
      </c>
      <c r="B37" s="21" t="s">
        <v>32</v>
      </c>
      <c r="C37" s="20" t="s">
        <v>153</v>
      </c>
      <c r="D37" s="20" t="s">
        <v>243</v>
      </c>
      <c r="E37" s="22" t="s">
        <v>349</v>
      </c>
      <c r="F37" s="23">
        <v>8.4</v>
      </c>
      <c r="G37" s="22"/>
    </row>
    <row r="38" spans="1:7" ht="25.05" customHeight="1">
      <c r="A38" s="20">
        <v>35</v>
      </c>
      <c r="B38" s="21" t="s">
        <v>32</v>
      </c>
      <c r="C38" s="20" t="s">
        <v>153</v>
      </c>
      <c r="D38" s="20" t="s">
        <v>243</v>
      </c>
      <c r="E38" s="22" t="s">
        <v>350</v>
      </c>
      <c r="F38" s="23">
        <v>8.4</v>
      </c>
      <c r="G38" s="22"/>
    </row>
    <row r="39" spans="1:7" ht="25.05" customHeight="1">
      <c r="A39" s="20">
        <v>36</v>
      </c>
      <c r="B39" s="21" t="s">
        <v>32</v>
      </c>
      <c r="C39" s="20" t="s">
        <v>153</v>
      </c>
      <c r="D39" s="20" t="s">
        <v>243</v>
      </c>
      <c r="E39" s="22" t="s">
        <v>303</v>
      </c>
      <c r="F39" s="23">
        <v>15.84</v>
      </c>
      <c r="G39" s="22"/>
    </row>
    <row r="40" spans="1:7" ht="25.05" customHeight="1">
      <c r="A40" s="20">
        <v>37</v>
      </c>
      <c r="B40" s="21" t="s">
        <v>32</v>
      </c>
      <c r="C40" s="20" t="s">
        <v>153</v>
      </c>
      <c r="D40" s="20" t="s">
        <v>243</v>
      </c>
      <c r="E40" s="22" t="s">
        <v>247</v>
      </c>
      <c r="F40" s="23">
        <v>2</v>
      </c>
      <c r="G40" s="22"/>
    </row>
    <row r="41" spans="1:7" ht="25.05" customHeight="1">
      <c r="A41" s="20">
        <v>38</v>
      </c>
      <c r="B41" s="21" t="s">
        <v>32</v>
      </c>
      <c r="C41" s="20" t="s">
        <v>153</v>
      </c>
      <c r="D41" s="17" t="s">
        <v>219</v>
      </c>
      <c r="E41" s="36" t="s">
        <v>248</v>
      </c>
      <c r="F41" s="37">
        <f>SUM(F37:F40)</f>
        <v>34.64</v>
      </c>
      <c r="G41" s="36"/>
    </row>
    <row r="42" spans="1:7" ht="25.05" customHeight="1">
      <c r="A42" s="20">
        <v>39</v>
      </c>
      <c r="B42" s="21" t="s">
        <v>32</v>
      </c>
      <c r="C42" s="20" t="s">
        <v>153</v>
      </c>
      <c r="D42" s="20" t="s">
        <v>249</v>
      </c>
      <c r="E42" s="22" t="s">
        <v>366</v>
      </c>
      <c r="F42" s="23">
        <v>10</v>
      </c>
      <c r="G42" s="22"/>
    </row>
    <row r="43" spans="1:7" ht="25.05" customHeight="1">
      <c r="A43" s="20">
        <v>40</v>
      </c>
      <c r="B43" s="21" t="s">
        <v>32</v>
      </c>
      <c r="C43" s="20" t="s">
        <v>153</v>
      </c>
      <c r="D43" s="20" t="s">
        <v>249</v>
      </c>
      <c r="E43" s="22" t="s">
        <v>367</v>
      </c>
      <c r="F43" s="23">
        <v>10</v>
      </c>
      <c r="G43" s="22"/>
    </row>
    <row r="44" spans="1:7" s="47" customFormat="1" ht="33.5" customHeight="1">
      <c r="A44" s="20">
        <v>41</v>
      </c>
      <c r="B44" s="65" t="s">
        <v>32</v>
      </c>
      <c r="C44" s="38" t="s">
        <v>153</v>
      </c>
      <c r="D44" s="38" t="s">
        <v>249</v>
      </c>
      <c r="E44" s="34" t="s">
        <v>865</v>
      </c>
      <c r="F44" s="40">
        <v>0</v>
      </c>
      <c r="G44" s="39" t="s">
        <v>866</v>
      </c>
    </row>
    <row r="45" spans="1:7" s="47" customFormat="1" ht="25.05" customHeight="1">
      <c r="A45" s="20">
        <v>42</v>
      </c>
      <c r="B45" s="65" t="s">
        <v>32</v>
      </c>
      <c r="C45" s="38" t="s">
        <v>153</v>
      </c>
      <c r="D45" s="38" t="s">
        <v>249</v>
      </c>
      <c r="E45" s="34" t="s">
        <v>599</v>
      </c>
      <c r="F45" s="40">
        <v>10</v>
      </c>
      <c r="G45" s="34"/>
    </row>
    <row r="46" spans="1:7" s="47" customFormat="1" ht="25.05" customHeight="1">
      <c r="A46" s="20">
        <v>43</v>
      </c>
      <c r="B46" s="65" t="s">
        <v>32</v>
      </c>
      <c r="C46" s="38" t="s">
        <v>153</v>
      </c>
      <c r="D46" s="38" t="s">
        <v>249</v>
      </c>
      <c r="E46" s="34" t="s">
        <v>600</v>
      </c>
      <c r="F46" s="40">
        <v>40</v>
      </c>
      <c r="G46" s="34"/>
    </row>
    <row r="47" spans="1:7" s="47" customFormat="1" ht="25.05" customHeight="1">
      <c r="A47" s="20">
        <v>44</v>
      </c>
      <c r="B47" s="65" t="s">
        <v>32</v>
      </c>
      <c r="C47" s="38" t="s">
        <v>153</v>
      </c>
      <c r="D47" s="38" t="s">
        <v>249</v>
      </c>
      <c r="E47" s="34" t="s">
        <v>867</v>
      </c>
      <c r="F47" s="40">
        <v>40</v>
      </c>
      <c r="G47" s="34"/>
    </row>
    <row r="48" spans="1:7" s="47" customFormat="1" ht="25.05" customHeight="1">
      <c r="A48" s="20">
        <v>45</v>
      </c>
      <c r="B48" s="65" t="s">
        <v>32</v>
      </c>
      <c r="C48" s="38" t="s">
        <v>153</v>
      </c>
      <c r="D48" s="38" t="s">
        <v>249</v>
      </c>
      <c r="E48" s="34" t="s">
        <v>868</v>
      </c>
      <c r="F48" s="40">
        <v>36</v>
      </c>
      <c r="G48" s="34"/>
    </row>
    <row r="49" spans="1:7" ht="25.05" customHeight="1">
      <c r="A49" s="20">
        <v>46</v>
      </c>
      <c r="B49" s="21" t="s">
        <v>32</v>
      </c>
      <c r="C49" s="20" t="s">
        <v>153</v>
      </c>
      <c r="D49" s="20" t="s">
        <v>249</v>
      </c>
      <c r="E49" s="22" t="s">
        <v>369</v>
      </c>
      <c r="F49" s="23">
        <v>10</v>
      </c>
      <c r="G49" s="22"/>
    </row>
    <row r="50" spans="1:7" ht="25.05" customHeight="1">
      <c r="A50" s="20">
        <v>47</v>
      </c>
      <c r="B50" s="21" t="s">
        <v>32</v>
      </c>
      <c r="C50" s="20" t="s">
        <v>153</v>
      </c>
      <c r="D50" s="20" t="s">
        <v>249</v>
      </c>
      <c r="E50" s="22" t="s">
        <v>285</v>
      </c>
      <c r="F50" s="23">
        <v>5</v>
      </c>
      <c r="G50" s="22"/>
    </row>
    <row r="51" spans="1:7" ht="25.05" customHeight="1">
      <c r="A51" s="20">
        <v>48</v>
      </c>
      <c r="B51" s="21" t="s">
        <v>32</v>
      </c>
      <c r="C51" s="20" t="s">
        <v>153</v>
      </c>
      <c r="D51" s="20" t="s">
        <v>249</v>
      </c>
      <c r="E51" s="22" t="s">
        <v>387</v>
      </c>
      <c r="F51" s="23">
        <v>10</v>
      </c>
      <c r="G51" s="22"/>
    </row>
    <row r="52" spans="1:7" ht="25.05" customHeight="1">
      <c r="A52" s="20">
        <v>49</v>
      </c>
      <c r="B52" s="21" t="s">
        <v>32</v>
      </c>
      <c r="C52" s="20" t="s">
        <v>153</v>
      </c>
      <c r="D52" s="17" t="s">
        <v>219</v>
      </c>
      <c r="E52" s="36" t="s">
        <v>255</v>
      </c>
      <c r="F52" s="37">
        <f>SUM(F42:F51)</f>
        <v>171</v>
      </c>
      <c r="G52" s="36"/>
    </row>
    <row r="53" spans="1:7" ht="25.05" customHeight="1">
      <c r="A53" s="20">
        <v>50</v>
      </c>
      <c r="B53" s="21" t="s">
        <v>32</v>
      </c>
      <c r="C53" s="20" t="s">
        <v>153</v>
      </c>
      <c r="D53" s="69" t="s">
        <v>256</v>
      </c>
      <c r="E53" s="28" t="s">
        <v>286</v>
      </c>
      <c r="F53" s="42">
        <v>10</v>
      </c>
      <c r="G53" s="22"/>
    </row>
    <row r="54" spans="1:7" ht="25.05" customHeight="1">
      <c r="A54" s="20">
        <v>51</v>
      </c>
      <c r="B54" s="21" t="s">
        <v>32</v>
      </c>
      <c r="C54" s="20" t="s">
        <v>153</v>
      </c>
      <c r="D54" s="17" t="s">
        <v>219</v>
      </c>
      <c r="E54" s="36" t="s">
        <v>255</v>
      </c>
      <c r="F54" s="37">
        <f>SUM(F53)</f>
        <v>10</v>
      </c>
      <c r="G54" s="36"/>
    </row>
    <row r="55" spans="1:7" ht="25.05" customHeight="1">
      <c r="A55" s="20">
        <v>52</v>
      </c>
      <c r="B55" s="21" t="s">
        <v>32</v>
      </c>
      <c r="C55" s="20" t="s">
        <v>153</v>
      </c>
      <c r="D55" s="20" t="s">
        <v>262</v>
      </c>
      <c r="E55" s="22" t="s">
        <v>263</v>
      </c>
      <c r="F55" s="23">
        <v>75</v>
      </c>
      <c r="G55" s="22"/>
    </row>
    <row r="56" spans="1:7" ht="25.05" customHeight="1">
      <c r="A56" s="20">
        <v>53</v>
      </c>
      <c r="B56" s="21" t="s">
        <v>32</v>
      </c>
      <c r="C56" s="20" t="s">
        <v>153</v>
      </c>
      <c r="D56" s="20" t="s">
        <v>262</v>
      </c>
      <c r="E56" s="22" t="s">
        <v>264</v>
      </c>
      <c r="F56" s="23">
        <v>40</v>
      </c>
      <c r="G56" s="22"/>
    </row>
    <row r="57" spans="1:7" ht="25.05" customHeight="1">
      <c r="A57" s="20">
        <v>54</v>
      </c>
      <c r="B57" s="21" t="s">
        <v>32</v>
      </c>
      <c r="C57" s="20" t="s">
        <v>153</v>
      </c>
      <c r="D57" s="20" t="s">
        <v>262</v>
      </c>
      <c r="E57" s="22" t="s">
        <v>265</v>
      </c>
      <c r="F57" s="23">
        <v>20</v>
      </c>
      <c r="G57" s="22"/>
    </row>
    <row r="58" spans="1:7" ht="25.05" customHeight="1">
      <c r="A58" s="20">
        <v>55</v>
      </c>
      <c r="B58" s="21" t="s">
        <v>32</v>
      </c>
      <c r="C58" s="20" t="s">
        <v>153</v>
      </c>
      <c r="D58" s="17" t="s">
        <v>219</v>
      </c>
      <c r="E58" s="36" t="s">
        <v>266</v>
      </c>
      <c r="F58" s="37">
        <f>SUM(F55:F57)</f>
        <v>135</v>
      </c>
      <c r="G58" s="36"/>
    </row>
    <row r="59" spans="1:7" ht="25.05" customHeight="1">
      <c r="A59" s="20">
        <v>56</v>
      </c>
      <c r="B59" s="21" t="s">
        <v>32</v>
      </c>
      <c r="C59" s="20" t="s">
        <v>153</v>
      </c>
      <c r="D59" s="17" t="s">
        <v>267</v>
      </c>
      <c r="E59" s="36" t="s">
        <v>869</v>
      </c>
      <c r="F59" s="36">
        <v>1004</v>
      </c>
      <c r="G59" s="36"/>
    </row>
    <row r="60" spans="1:7" ht="25.05" customHeight="1">
      <c r="A60" s="240" t="s">
        <v>870</v>
      </c>
      <c r="B60" s="240"/>
      <c r="C60" s="240"/>
      <c r="D60" s="240"/>
      <c r="E60" s="240"/>
      <c r="F60" s="240"/>
      <c r="G60" s="240"/>
    </row>
  </sheetData>
  <autoFilter ref="A3:G60" xr:uid="{00000000-0009-0000-0000-00002F000000}"/>
  <mergeCells count="3">
    <mergeCell ref="A1:G1"/>
    <mergeCell ref="A2:G2"/>
    <mergeCell ref="A60:G60"/>
  </mergeCells>
  <phoneticPr fontId="23" type="noConversion"/>
  <pageMargins left="0.59055118110236204" right="0.18" top="0.31496062992126" bottom="0.55118110236220497" header="0.31496062992126" footer="0.27559055118110198"/>
  <pageSetup paperSize="9" orientation="portrait" r:id="rId1"/>
  <headerFooter>
    <oddFooter>&amp;C&amp;8第 &amp;P 页，共 &amp;N 页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73"/>
  <sheetViews>
    <sheetView view="pageBreakPreview" topLeftCell="A10" zoomScale="115" zoomScaleNormal="70" workbookViewId="0">
      <selection activeCell="E66" sqref="E66"/>
    </sheetView>
  </sheetViews>
  <sheetFormatPr defaultColWidth="9" defaultRowHeight="15.75"/>
  <cols>
    <col min="1" max="1" width="4.06640625" style="13" customWidth="1"/>
    <col min="2" max="2" width="8.265625" style="14" customWidth="1"/>
    <col min="3" max="3" width="12.73046875" style="13" customWidth="1"/>
    <col min="4" max="4" width="10.53125" style="13" customWidth="1"/>
    <col min="5" max="5" width="53.796875" style="33" customWidth="1"/>
    <col min="6" max="6" width="6.46484375" style="13" customWidth="1"/>
    <col min="7" max="7" width="8.19921875" style="13" customWidth="1"/>
    <col min="8" max="16384" width="9" style="16"/>
  </cols>
  <sheetData>
    <row r="1" spans="1:7" ht="25.05" customHeight="1">
      <c r="A1" s="215" t="s">
        <v>871</v>
      </c>
      <c r="B1" s="215"/>
      <c r="C1" s="215"/>
      <c r="D1" s="215"/>
      <c r="E1" s="215"/>
      <c r="F1" s="235"/>
      <c r="G1" s="235"/>
    </row>
    <row r="2" spans="1:7" ht="25.05" customHeight="1">
      <c r="A2" s="230" t="s">
        <v>872</v>
      </c>
      <c r="B2" s="230"/>
      <c r="C2" s="230"/>
      <c r="D2" s="230"/>
      <c r="E2" s="230"/>
      <c r="F2" s="230"/>
      <c r="G2" s="230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155</v>
      </c>
      <c r="D4" s="20" t="s">
        <v>209</v>
      </c>
      <c r="E4" s="28" t="s">
        <v>210</v>
      </c>
      <c r="F4" s="22">
        <v>19</v>
      </c>
      <c r="G4" s="22"/>
    </row>
    <row r="5" spans="1:7" ht="25.05" customHeight="1">
      <c r="A5" s="20">
        <v>2</v>
      </c>
      <c r="B5" s="21" t="s">
        <v>32</v>
      </c>
      <c r="C5" s="20" t="s">
        <v>155</v>
      </c>
      <c r="D5" s="20" t="s">
        <v>209</v>
      </c>
      <c r="E5" s="28" t="s">
        <v>211</v>
      </c>
      <c r="F5" s="22">
        <v>15</v>
      </c>
      <c r="G5" s="22"/>
    </row>
    <row r="6" spans="1:7" ht="25.05" customHeight="1">
      <c r="A6" s="20">
        <v>3</v>
      </c>
      <c r="B6" s="21" t="s">
        <v>32</v>
      </c>
      <c r="C6" s="20" t="s">
        <v>155</v>
      </c>
      <c r="D6" s="20" t="s">
        <v>209</v>
      </c>
      <c r="E6" s="28" t="s">
        <v>212</v>
      </c>
      <c r="F6" s="22">
        <v>34</v>
      </c>
      <c r="G6" s="22"/>
    </row>
    <row r="7" spans="1:7" ht="25.05" customHeight="1">
      <c r="A7" s="20">
        <v>4</v>
      </c>
      <c r="B7" s="21" t="s">
        <v>32</v>
      </c>
      <c r="C7" s="20" t="s">
        <v>155</v>
      </c>
      <c r="D7" s="20" t="s">
        <v>209</v>
      </c>
      <c r="E7" s="28" t="s">
        <v>272</v>
      </c>
      <c r="F7" s="22">
        <v>34</v>
      </c>
      <c r="G7" s="22"/>
    </row>
    <row r="8" spans="1:7" ht="25.05" customHeight="1">
      <c r="A8" s="20">
        <v>5</v>
      </c>
      <c r="B8" s="21" t="s">
        <v>32</v>
      </c>
      <c r="C8" s="20" t="s">
        <v>155</v>
      </c>
      <c r="D8" s="20" t="s">
        <v>209</v>
      </c>
      <c r="E8" s="28" t="s">
        <v>214</v>
      </c>
      <c r="F8" s="22">
        <v>26</v>
      </c>
      <c r="G8" s="22"/>
    </row>
    <row r="9" spans="1:7" ht="25.05" customHeight="1">
      <c r="A9" s="20">
        <v>6</v>
      </c>
      <c r="B9" s="21" t="s">
        <v>32</v>
      </c>
      <c r="C9" s="20" t="s">
        <v>155</v>
      </c>
      <c r="D9" s="20" t="s">
        <v>209</v>
      </c>
      <c r="E9" s="28" t="s">
        <v>312</v>
      </c>
      <c r="F9" s="22">
        <v>10</v>
      </c>
      <c r="G9" s="22"/>
    </row>
    <row r="10" spans="1:7" ht="25.05" customHeight="1">
      <c r="A10" s="20">
        <v>7</v>
      </c>
      <c r="B10" s="21" t="s">
        <v>32</v>
      </c>
      <c r="C10" s="20" t="s">
        <v>155</v>
      </c>
      <c r="D10" s="20" t="s">
        <v>209</v>
      </c>
      <c r="E10" s="28" t="s">
        <v>216</v>
      </c>
      <c r="F10" s="22">
        <v>40</v>
      </c>
      <c r="G10" s="22"/>
    </row>
    <row r="11" spans="1:7" ht="25.05" customHeight="1">
      <c r="A11" s="20">
        <v>8</v>
      </c>
      <c r="B11" s="21" t="s">
        <v>32</v>
      </c>
      <c r="C11" s="20" t="s">
        <v>155</v>
      </c>
      <c r="D11" s="20" t="s">
        <v>209</v>
      </c>
      <c r="E11" s="28" t="s">
        <v>292</v>
      </c>
      <c r="F11" s="22">
        <v>18</v>
      </c>
      <c r="G11" s="22"/>
    </row>
    <row r="12" spans="1:7" ht="25.05" customHeight="1">
      <c r="A12" s="20">
        <v>9</v>
      </c>
      <c r="B12" s="21" t="s">
        <v>32</v>
      </c>
      <c r="C12" s="20" t="s">
        <v>155</v>
      </c>
      <c r="D12" s="20" t="s">
        <v>209</v>
      </c>
      <c r="E12" s="28" t="s">
        <v>217</v>
      </c>
      <c r="F12" s="22">
        <v>55</v>
      </c>
      <c r="G12" s="22"/>
    </row>
    <row r="13" spans="1:7" ht="25.05" customHeight="1">
      <c r="A13" s="20">
        <v>10</v>
      </c>
      <c r="B13" s="21" t="s">
        <v>32</v>
      </c>
      <c r="C13" s="20" t="s">
        <v>155</v>
      </c>
      <c r="D13" s="20" t="s">
        <v>209</v>
      </c>
      <c r="E13" s="28" t="s">
        <v>400</v>
      </c>
      <c r="F13" s="22">
        <v>10</v>
      </c>
      <c r="G13" s="22"/>
    </row>
    <row r="14" spans="1:7" ht="25.05" customHeight="1">
      <c r="A14" s="20">
        <v>11</v>
      </c>
      <c r="B14" s="21" t="s">
        <v>32</v>
      </c>
      <c r="C14" s="20" t="s">
        <v>155</v>
      </c>
      <c r="D14" s="17" t="s">
        <v>219</v>
      </c>
      <c r="E14" s="35" t="s">
        <v>220</v>
      </c>
      <c r="F14" s="36">
        <f>SUM(F4:F13)</f>
        <v>261</v>
      </c>
      <c r="G14" s="36"/>
    </row>
    <row r="15" spans="1:7" ht="25.05" customHeight="1">
      <c r="A15" s="20">
        <v>12</v>
      </c>
      <c r="B15" s="21" t="s">
        <v>32</v>
      </c>
      <c r="C15" s="20" t="s">
        <v>155</v>
      </c>
      <c r="D15" s="20" t="s">
        <v>401</v>
      </c>
      <c r="E15" s="28" t="s">
        <v>402</v>
      </c>
      <c r="F15" s="22">
        <v>34</v>
      </c>
      <c r="G15" s="22"/>
    </row>
    <row r="16" spans="1:7" ht="25.05" customHeight="1">
      <c r="A16" s="20">
        <v>13</v>
      </c>
      <c r="B16" s="21" t="s">
        <v>32</v>
      </c>
      <c r="C16" s="20" t="s">
        <v>155</v>
      </c>
      <c r="D16" s="20" t="s">
        <v>401</v>
      </c>
      <c r="E16" s="28" t="s">
        <v>403</v>
      </c>
      <c r="F16" s="22">
        <v>34</v>
      </c>
      <c r="G16" s="22"/>
    </row>
    <row r="17" spans="1:22" ht="25.05" customHeight="1">
      <c r="A17" s="20">
        <v>14</v>
      </c>
      <c r="B17" s="21" t="s">
        <v>32</v>
      </c>
      <c r="C17" s="20" t="s">
        <v>155</v>
      </c>
      <c r="D17" s="20" t="s">
        <v>401</v>
      </c>
      <c r="E17" s="28" t="s">
        <v>404</v>
      </c>
      <c r="F17" s="22">
        <v>140</v>
      </c>
      <c r="G17" s="22"/>
    </row>
    <row r="18" spans="1:22" ht="25.05" customHeight="1">
      <c r="A18" s="20">
        <v>15</v>
      </c>
      <c r="B18" s="21" t="s">
        <v>32</v>
      </c>
      <c r="C18" s="20" t="s">
        <v>155</v>
      </c>
      <c r="D18" s="20" t="s">
        <v>401</v>
      </c>
      <c r="E18" s="28" t="s">
        <v>405</v>
      </c>
      <c r="F18" s="22">
        <v>60</v>
      </c>
      <c r="G18" s="22"/>
    </row>
    <row r="19" spans="1:22" ht="25.05" customHeight="1">
      <c r="A19" s="20">
        <v>16</v>
      </c>
      <c r="B19" s="21" t="s">
        <v>32</v>
      </c>
      <c r="C19" s="20" t="s">
        <v>155</v>
      </c>
      <c r="D19" s="20" t="s">
        <v>401</v>
      </c>
      <c r="E19" s="28" t="s">
        <v>406</v>
      </c>
      <c r="F19" s="22">
        <v>20</v>
      </c>
      <c r="G19" s="22"/>
    </row>
    <row r="20" spans="1:22" ht="25.05" customHeight="1">
      <c r="A20" s="20">
        <v>17</v>
      </c>
      <c r="B20" s="21" t="s">
        <v>32</v>
      </c>
      <c r="C20" s="20" t="s">
        <v>155</v>
      </c>
      <c r="D20" s="20" t="s">
        <v>401</v>
      </c>
      <c r="E20" s="28" t="s">
        <v>407</v>
      </c>
      <c r="F20" s="22">
        <v>200</v>
      </c>
      <c r="G20" s="22"/>
    </row>
    <row r="21" spans="1:22" ht="25.05" customHeight="1">
      <c r="A21" s="20">
        <v>18</v>
      </c>
      <c r="B21" s="21" t="s">
        <v>32</v>
      </c>
      <c r="C21" s="20" t="s">
        <v>155</v>
      </c>
      <c r="D21" s="20" t="s">
        <v>401</v>
      </c>
      <c r="E21" s="28" t="s">
        <v>408</v>
      </c>
      <c r="F21" s="22">
        <v>16</v>
      </c>
      <c r="G21" s="22"/>
    </row>
    <row r="22" spans="1:22" ht="25.05" customHeight="1">
      <c r="A22" s="20">
        <v>19</v>
      </c>
      <c r="B22" s="21" t="s">
        <v>32</v>
      </c>
      <c r="C22" s="20" t="s">
        <v>155</v>
      </c>
      <c r="D22" s="17" t="s">
        <v>219</v>
      </c>
      <c r="E22" s="35" t="s">
        <v>409</v>
      </c>
      <c r="F22" s="36">
        <f>SUM(F15:F21)</f>
        <v>504</v>
      </c>
      <c r="G22" s="36"/>
    </row>
    <row r="23" spans="1:22" ht="25.05" customHeight="1">
      <c r="A23" s="20">
        <v>20</v>
      </c>
      <c r="B23" s="21" t="s">
        <v>32</v>
      </c>
      <c r="C23" s="20" t="s">
        <v>155</v>
      </c>
      <c r="D23" s="20" t="s">
        <v>221</v>
      </c>
      <c r="E23" s="28" t="s">
        <v>222</v>
      </c>
      <c r="F23" s="22">
        <v>14</v>
      </c>
      <c r="G23" s="22"/>
    </row>
    <row r="24" spans="1:22" ht="25.05" customHeight="1">
      <c r="A24" s="20">
        <v>21</v>
      </c>
      <c r="B24" s="21" t="s">
        <v>32</v>
      </c>
      <c r="C24" s="20" t="s">
        <v>155</v>
      </c>
      <c r="D24" s="20" t="s">
        <v>221</v>
      </c>
      <c r="E24" s="28" t="s">
        <v>223</v>
      </c>
      <c r="F24" s="22">
        <v>22</v>
      </c>
      <c r="G24" s="22"/>
    </row>
    <row r="25" spans="1:22" ht="25.05" customHeight="1">
      <c r="A25" s="20">
        <v>22</v>
      </c>
      <c r="B25" s="21" t="s">
        <v>873</v>
      </c>
      <c r="C25" s="20" t="s">
        <v>155</v>
      </c>
      <c r="D25" s="20" t="s">
        <v>221</v>
      </c>
      <c r="E25" s="28" t="s">
        <v>462</v>
      </c>
      <c r="F25" s="22">
        <v>12</v>
      </c>
      <c r="G25" s="22"/>
    </row>
    <row r="26" spans="1:22" ht="25.05" customHeight="1">
      <c r="A26" s="20">
        <v>23</v>
      </c>
      <c r="B26" s="21" t="s">
        <v>32</v>
      </c>
      <c r="C26" s="20" t="s">
        <v>155</v>
      </c>
      <c r="D26" s="20" t="s">
        <v>221</v>
      </c>
      <c r="E26" s="28" t="s">
        <v>224</v>
      </c>
      <c r="F26" s="22">
        <v>9</v>
      </c>
      <c r="G26" s="22"/>
    </row>
    <row r="27" spans="1:22" ht="25.05" customHeight="1">
      <c r="A27" s="20">
        <v>24</v>
      </c>
      <c r="B27" s="21" t="s">
        <v>32</v>
      </c>
      <c r="C27" s="20" t="s">
        <v>155</v>
      </c>
      <c r="D27" s="20" t="s">
        <v>221</v>
      </c>
      <c r="E27" s="28" t="s">
        <v>225</v>
      </c>
      <c r="F27" s="22">
        <v>20</v>
      </c>
      <c r="G27" s="22"/>
      <c r="U27" s="88"/>
    </row>
    <row r="28" spans="1:22" ht="25.05" customHeight="1">
      <c r="A28" s="20">
        <v>25</v>
      </c>
      <c r="B28" s="21" t="s">
        <v>32</v>
      </c>
      <c r="C28" s="20" t="s">
        <v>155</v>
      </c>
      <c r="D28" s="20" t="s">
        <v>221</v>
      </c>
      <c r="E28" s="28" t="s">
        <v>226</v>
      </c>
      <c r="F28" s="22">
        <v>22</v>
      </c>
      <c r="G28" s="22"/>
    </row>
    <row r="29" spans="1:22" ht="25.05" customHeight="1">
      <c r="A29" s="20">
        <v>26</v>
      </c>
      <c r="B29" s="21" t="s">
        <v>32</v>
      </c>
      <c r="C29" s="20" t="s">
        <v>155</v>
      </c>
      <c r="D29" s="20" t="s">
        <v>221</v>
      </c>
      <c r="E29" s="28" t="s">
        <v>391</v>
      </c>
      <c r="F29" s="22">
        <v>20</v>
      </c>
      <c r="G29" s="22"/>
    </row>
    <row r="30" spans="1:22" ht="25.05" customHeight="1">
      <c r="A30" s="20">
        <v>27</v>
      </c>
      <c r="B30" s="21" t="s">
        <v>32</v>
      </c>
      <c r="C30" s="20" t="s">
        <v>155</v>
      </c>
      <c r="D30" s="17" t="s">
        <v>219</v>
      </c>
      <c r="E30" s="35" t="s">
        <v>228</v>
      </c>
      <c r="F30" s="35">
        <f>SUM(F23:F29)</f>
        <v>119</v>
      </c>
      <c r="G30" s="36"/>
    </row>
    <row r="31" spans="1:22" ht="25.05" customHeight="1">
      <c r="A31" s="20">
        <v>28</v>
      </c>
      <c r="B31" s="21" t="s">
        <v>32</v>
      </c>
      <c r="C31" s="20" t="s">
        <v>155</v>
      </c>
      <c r="D31" s="20" t="s">
        <v>229</v>
      </c>
      <c r="E31" s="28" t="s">
        <v>230</v>
      </c>
      <c r="F31" s="22">
        <v>14</v>
      </c>
      <c r="G31" s="22"/>
    </row>
    <row r="32" spans="1:22" ht="25.05" customHeight="1">
      <c r="A32" s="20">
        <v>29</v>
      </c>
      <c r="B32" s="21" t="s">
        <v>32</v>
      </c>
      <c r="C32" s="20" t="s">
        <v>155</v>
      </c>
      <c r="D32" s="20" t="s">
        <v>229</v>
      </c>
      <c r="E32" s="28" t="s">
        <v>231</v>
      </c>
      <c r="F32" s="22">
        <v>45</v>
      </c>
      <c r="G32" s="22"/>
      <c r="V32" s="89"/>
    </row>
    <row r="33" spans="1:7" ht="25.05" customHeight="1">
      <c r="A33" s="20">
        <v>30</v>
      </c>
      <c r="B33" s="21" t="s">
        <v>32</v>
      </c>
      <c r="C33" s="20" t="s">
        <v>155</v>
      </c>
      <c r="D33" s="20" t="s">
        <v>229</v>
      </c>
      <c r="E33" s="28" t="s">
        <v>385</v>
      </c>
      <c r="F33" s="22">
        <v>18</v>
      </c>
      <c r="G33" s="22"/>
    </row>
    <row r="34" spans="1:7" ht="25.05" customHeight="1">
      <c r="A34" s="20">
        <v>31</v>
      </c>
      <c r="B34" s="21" t="s">
        <v>32</v>
      </c>
      <c r="C34" s="20" t="s">
        <v>155</v>
      </c>
      <c r="D34" s="20" t="s">
        <v>229</v>
      </c>
      <c r="E34" s="28" t="s">
        <v>412</v>
      </c>
      <c r="F34" s="22">
        <v>40</v>
      </c>
      <c r="G34" s="22"/>
    </row>
    <row r="35" spans="1:7" ht="25.05" customHeight="1">
      <c r="A35" s="20">
        <v>32</v>
      </c>
      <c r="B35" s="21" t="s">
        <v>32</v>
      </c>
      <c r="C35" s="20" t="s">
        <v>155</v>
      </c>
      <c r="D35" s="20" t="s">
        <v>229</v>
      </c>
      <c r="E35" s="28" t="s">
        <v>446</v>
      </c>
      <c r="F35" s="22">
        <v>25</v>
      </c>
      <c r="G35" s="22"/>
    </row>
    <row r="36" spans="1:7" ht="25.05" customHeight="1">
      <c r="A36" s="20">
        <v>33</v>
      </c>
      <c r="B36" s="21" t="s">
        <v>32</v>
      </c>
      <c r="C36" s="20" t="s">
        <v>155</v>
      </c>
      <c r="D36" s="20" t="s">
        <v>229</v>
      </c>
      <c r="E36" s="28" t="s">
        <v>447</v>
      </c>
      <c r="F36" s="22">
        <v>30</v>
      </c>
      <c r="G36" s="22"/>
    </row>
    <row r="37" spans="1:7" ht="25.05" customHeight="1">
      <c r="A37" s="20">
        <v>34</v>
      </c>
      <c r="B37" s="21" t="s">
        <v>32</v>
      </c>
      <c r="C37" s="20" t="s">
        <v>155</v>
      </c>
      <c r="D37" s="20" t="s">
        <v>229</v>
      </c>
      <c r="E37" s="28" t="s">
        <v>448</v>
      </c>
      <c r="F37" s="22">
        <v>20</v>
      </c>
      <c r="G37" s="22"/>
    </row>
    <row r="38" spans="1:7" ht="25.05" customHeight="1">
      <c r="A38" s="20">
        <v>35</v>
      </c>
      <c r="B38" s="21" t="s">
        <v>32</v>
      </c>
      <c r="C38" s="20" t="s">
        <v>155</v>
      </c>
      <c r="D38" s="20" t="s">
        <v>229</v>
      </c>
      <c r="E38" s="28" t="s">
        <v>415</v>
      </c>
      <c r="F38" s="22">
        <v>120</v>
      </c>
      <c r="G38" s="22"/>
    </row>
    <row r="39" spans="1:7" ht="25.05" customHeight="1">
      <c r="A39" s="20">
        <v>36</v>
      </c>
      <c r="B39" s="21" t="s">
        <v>32</v>
      </c>
      <c r="C39" s="20" t="s">
        <v>155</v>
      </c>
      <c r="D39" s="20" t="s">
        <v>229</v>
      </c>
      <c r="E39" s="28" t="s">
        <v>416</v>
      </c>
      <c r="F39" s="22">
        <v>8</v>
      </c>
      <c r="G39" s="22"/>
    </row>
    <row r="40" spans="1:7" ht="25.05" customHeight="1">
      <c r="A40" s="20">
        <v>37</v>
      </c>
      <c r="B40" s="21" t="s">
        <v>32</v>
      </c>
      <c r="C40" s="20" t="s">
        <v>155</v>
      </c>
      <c r="D40" s="20" t="s">
        <v>229</v>
      </c>
      <c r="E40" s="28" t="s">
        <v>417</v>
      </c>
      <c r="F40" s="22">
        <v>10</v>
      </c>
      <c r="G40" s="22"/>
    </row>
    <row r="41" spans="1:7" ht="25.05" customHeight="1">
      <c r="A41" s="20">
        <v>38</v>
      </c>
      <c r="B41" s="21" t="s">
        <v>32</v>
      </c>
      <c r="C41" s="20" t="s">
        <v>155</v>
      </c>
      <c r="D41" s="20" t="s">
        <v>229</v>
      </c>
      <c r="E41" s="28" t="s">
        <v>431</v>
      </c>
      <c r="F41" s="22">
        <v>12</v>
      </c>
      <c r="G41" s="22"/>
    </row>
    <row r="42" spans="1:7" ht="25.05" customHeight="1">
      <c r="A42" s="20">
        <v>39</v>
      </c>
      <c r="B42" s="21" t="s">
        <v>32</v>
      </c>
      <c r="C42" s="20" t="s">
        <v>155</v>
      </c>
      <c r="D42" s="17" t="s">
        <v>219</v>
      </c>
      <c r="E42" s="35" t="s">
        <v>238</v>
      </c>
      <c r="F42" s="35">
        <f>SUM(F31:F41)</f>
        <v>342</v>
      </c>
      <c r="G42" s="36"/>
    </row>
    <row r="43" spans="1:7" ht="25.05" customHeight="1">
      <c r="A43" s="20">
        <v>40</v>
      </c>
      <c r="B43" s="21" t="s">
        <v>32</v>
      </c>
      <c r="C43" s="20" t="s">
        <v>155</v>
      </c>
      <c r="D43" s="20" t="s">
        <v>239</v>
      </c>
      <c r="E43" s="28" t="s">
        <v>240</v>
      </c>
      <c r="F43" s="22">
        <v>70</v>
      </c>
      <c r="G43" s="22"/>
    </row>
    <row r="44" spans="1:7" ht="25.05" customHeight="1">
      <c r="A44" s="20">
        <v>41</v>
      </c>
      <c r="B44" s="21" t="s">
        <v>32</v>
      </c>
      <c r="C44" s="20" t="s">
        <v>155</v>
      </c>
      <c r="D44" s="20" t="s">
        <v>239</v>
      </c>
      <c r="E44" s="28" t="s">
        <v>241</v>
      </c>
      <c r="F44" s="22">
        <v>60</v>
      </c>
      <c r="G44" s="22"/>
    </row>
    <row r="45" spans="1:7" ht="25.05" customHeight="1">
      <c r="A45" s="20">
        <v>42</v>
      </c>
      <c r="B45" s="21" t="s">
        <v>32</v>
      </c>
      <c r="C45" s="20" t="s">
        <v>155</v>
      </c>
      <c r="D45" s="17" t="s">
        <v>219</v>
      </c>
      <c r="E45" s="35" t="s">
        <v>242</v>
      </c>
      <c r="F45" s="36">
        <f>SUM(F43:F44)</f>
        <v>130</v>
      </c>
      <c r="G45" s="36"/>
    </row>
    <row r="46" spans="1:7" ht="25.05" customHeight="1">
      <c r="A46" s="20">
        <v>43</v>
      </c>
      <c r="B46" s="21" t="s">
        <v>32</v>
      </c>
      <c r="C46" s="20" t="s">
        <v>155</v>
      </c>
      <c r="D46" s="20" t="s">
        <v>259</v>
      </c>
      <c r="E46" s="28" t="s">
        <v>449</v>
      </c>
      <c r="F46" s="22">
        <v>10</v>
      </c>
      <c r="G46" s="22"/>
    </row>
    <row r="47" spans="1:7" ht="32" customHeight="1">
      <c r="A47" s="20">
        <v>44</v>
      </c>
      <c r="B47" s="21" t="s">
        <v>32</v>
      </c>
      <c r="C47" s="20" t="s">
        <v>155</v>
      </c>
      <c r="D47" s="20" t="s">
        <v>259</v>
      </c>
      <c r="E47" s="39" t="s">
        <v>874</v>
      </c>
      <c r="F47" s="22">
        <v>180</v>
      </c>
      <c r="G47" s="22"/>
    </row>
    <row r="48" spans="1:7" ht="25.05" customHeight="1">
      <c r="A48" s="20">
        <v>45</v>
      </c>
      <c r="B48" s="21" t="s">
        <v>32</v>
      </c>
      <c r="C48" s="20" t="s">
        <v>155</v>
      </c>
      <c r="D48" s="20" t="s">
        <v>259</v>
      </c>
      <c r="E48" s="39" t="s">
        <v>875</v>
      </c>
      <c r="F48" s="22">
        <v>18</v>
      </c>
      <c r="G48" s="22"/>
    </row>
    <row r="49" spans="1:7" ht="25.05" customHeight="1">
      <c r="A49" s="20">
        <v>46</v>
      </c>
      <c r="B49" s="21" t="s">
        <v>32</v>
      </c>
      <c r="C49" s="20" t="s">
        <v>155</v>
      </c>
      <c r="D49" s="20" t="s">
        <v>259</v>
      </c>
      <c r="E49" s="39" t="s">
        <v>450</v>
      </c>
      <c r="F49" s="22">
        <v>45</v>
      </c>
      <c r="G49" s="22"/>
    </row>
    <row r="50" spans="1:7" ht="25.05" customHeight="1">
      <c r="A50" s="20">
        <v>47</v>
      </c>
      <c r="B50" s="21" t="s">
        <v>32</v>
      </c>
      <c r="C50" s="20" t="s">
        <v>155</v>
      </c>
      <c r="D50" s="17" t="s">
        <v>219</v>
      </c>
      <c r="E50" s="41" t="s">
        <v>261</v>
      </c>
      <c r="F50" s="36">
        <f>SUM(F46:F49)</f>
        <v>253</v>
      </c>
      <c r="G50" s="36"/>
    </row>
    <row r="51" spans="1:7" ht="25.05" customHeight="1">
      <c r="A51" s="20">
        <v>48</v>
      </c>
      <c r="B51" s="21" t="s">
        <v>32</v>
      </c>
      <c r="C51" s="20" t="s">
        <v>155</v>
      </c>
      <c r="D51" s="20" t="s">
        <v>243</v>
      </c>
      <c r="E51" s="28" t="s">
        <v>876</v>
      </c>
      <c r="F51" s="22">
        <v>12</v>
      </c>
      <c r="G51" s="22"/>
    </row>
    <row r="52" spans="1:7" ht="25.05" customHeight="1">
      <c r="A52" s="20">
        <v>49</v>
      </c>
      <c r="B52" s="21" t="s">
        <v>32</v>
      </c>
      <c r="C52" s="20" t="s">
        <v>155</v>
      </c>
      <c r="D52" s="20" t="s">
        <v>243</v>
      </c>
      <c r="E52" s="28" t="s">
        <v>877</v>
      </c>
      <c r="F52" s="22">
        <v>12</v>
      </c>
      <c r="G52" s="22"/>
    </row>
    <row r="53" spans="1:7" ht="25.05" customHeight="1">
      <c r="A53" s="20">
        <v>50</v>
      </c>
      <c r="B53" s="21" t="s">
        <v>32</v>
      </c>
      <c r="C53" s="20" t="s">
        <v>155</v>
      </c>
      <c r="D53" s="20" t="s">
        <v>243</v>
      </c>
      <c r="E53" s="28" t="s">
        <v>453</v>
      </c>
      <c r="F53" s="22">
        <v>19.8</v>
      </c>
      <c r="G53" s="22"/>
    </row>
    <row r="54" spans="1:7" ht="25.05" customHeight="1">
      <c r="A54" s="20">
        <v>51</v>
      </c>
      <c r="B54" s="21" t="s">
        <v>32</v>
      </c>
      <c r="C54" s="20" t="s">
        <v>155</v>
      </c>
      <c r="D54" s="20" t="s">
        <v>243</v>
      </c>
      <c r="E54" s="28" t="s">
        <v>423</v>
      </c>
      <c r="F54" s="22">
        <v>2</v>
      </c>
      <c r="G54" s="22"/>
    </row>
    <row r="55" spans="1:7" ht="25.05" customHeight="1">
      <c r="A55" s="20">
        <v>52</v>
      </c>
      <c r="B55" s="21" t="s">
        <v>32</v>
      </c>
      <c r="C55" s="20" t="s">
        <v>155</v>
      </c>
      <c r="D55" s="17" t="s">
        <v>219</v>
      </c>
      <c r="E55" s="41" t="s">
        <v>248</v>
      </c>
      <c r="F55" s="36">
        <f>SUM(F51:F54)</f>
        <v>45.8</v>
      </c>
      <c r="G55" s="36"/>
    </row>
    <row r="56" spans="1:7" ht="25.05" customHeight="1">
      <c r="A56" s="20">
        <v>53</v>
      </c>
      <c r="B56" s="21" t="s">
        <v>32</v>
      </c>
      <c r="C56" s="20" t="s">
        <v>155</v>
      </c>
      <c r="D56" s="20" t="s">
        <v>249</v>
      </c>
      <c r="E56" s="28" t="s">
        <v>878</v>
      </c>
      <c r="F56" s="22">
        <v>15</v>
      </c>
      <c r="G56" s="22"/>
    </row>
    <row r="57" spans="1:7" ht="25.05" customHeight="1">
      <c r="A57" s="20">
        <v>54</v>
      </c>
      <c r="B57" s="21" t="s">
        <v>32</v>
      </c>
      <c r="C57" s="20" t="s">
        <v>155</v>
      </c>
      <c r="D57" s="20" t="s">
        <v>249</v>
      </c>
      <c r="E57" s="39" t="s">
        <v>879</v>
      </c>
      <c r="F57" s="22">
        <v>60</v>
      </c>
      <c r="G57" s="22"/>
    </row>
    <row r="58" spans="1:7" ht="25.05" customHeight="1">
      <c r="A58" s="20">
        <v>55</v>
      </c>
      <c r="B58" s="21" t="s">
        <v>32</v>
      </c>
      <c r="C58" s="20" t="s">
        <v>155</v>
      </c>
      <c r="D58" s="20" t="s">
        <v>249</v>
      </c>
      <c r="E58" s="39" t="s">
        <v>284</v>
      </c>
      <c r="F58" s="22">
        <v>10</v>
      </c>
      <c r="G58" s="22"/>
    </row>
    <row r="59" spans="1:7" ht="31.5" customHeight="1">
      <c r="A59" s="20">
        <v>56</v>
      </c>
      <c r="B59" s="21" t="s">
        <v>32</v>
      </c>
      <c r="C59" s="20" t="s">
        <v>155</v>
      </c>
      <c r="D59" s="20" t="s">
        <v>249</v>
      </c>
      <c r="E59" s="39" t="s">
        <v>880</v>
      </c>
      <c r="F59" s="23">
        <v>30</v>
      </c>
      <c r="G59" s="22"/>
    </row>
    <row r="60" spans="1:7" ht="25.05" customHeight="1">
      <c r="A60" s="20">
        <v>57</v>
      </c>
      <c r="B60" s="21" t="s">
        <v>32</v>
      </c>
      <c r="C60" s="20" t="s">
        <v>155</v>
      </c>
      <c r="D60" s="20" t="s">
        <v>249</v>
      </c>
      <c r="E60" s="39" t="s">
        <v>881</v>
      </c>
      <c r="F60" s="23">
        <v>200</v>
      </c>
      <c r="G60" s="22"/>
    </row>
    <row r="61" spans="1:7" ht="25.05" customHeight="1">
      <c r="A61" s="20">
        <v>58</v>
      </c>
      <c r="B61" s="21" t="s">
        <v>32</v>
      </c>
      <c r="C61" s="20" t="s">
        <v>155</v>
      </c>
      <c r="D61" s="20" t="s">
        <v>249</v>
      </c>
      <c r="E61" s="39" t="s">
        <v>882</v>
      </c>
      <c r="F61" s="23">
        <v>80</v>
      </c>
      <c r="G61" s="22"/>
    </row>
    <row r="62" spans="1:7" ht="25.05" customHeight="1">
      <c r="A62" s="20">
        <v>59</v>
      </c>
      <c r="B62" s="21" t="s">
        <v>32</v>
      </c>
      <c r="C62" s="20" t="s">
        <v>155</v>
      </c>
      <c r="D62" s="20" t="s">
        <v>249</v>
      </c>
      <c r="E62" s="39" t="s">
        <v>883</v>
      </c>
      <c r="F62" s="22">
        <v>100</v>
      </c>
      <c r="G62" s="22"/>
    </row>
    <row r="63" spans="1:7" ht="25.05" customHeight="1">
      <c r="A63" s="20">
        <v>60</v>
      </c>
      <c r="B63" s="21" t="s">
        <v>32</v>
      </c>
      <c r="C63" s="20" t="s">
        <v>155</v>
      </c>
      <c r="D63" s="17" t="s">
        <v>219</v>
      </c>
      <c r="E63" s="41" t="s">
        <v>255</v>
      </c>
      <c r="F63" s="36">
        <f>SUM(F56:F62)</f>
        <v>495</v>
      </c>
      <c r="G63" s="36"/>
    </row>
    <row r="64" spans="1:7" ht="25.05" customHeight="1">
      <c r="A64" s="20">
        <v>61</v>
      </c>
      <c r="B64" s="21" t="s">
        <v>32</v>
      </c>
      <c r="C64" s="20" t="s">
        <v>155</v>
      </c>
      <c r="D64" s="20" t="s">
        <v>256</v>
      </c>
      <c r="E64" s="87" t="s">
        <v>286</v>
      </c>
      <c r="F64" s="22">
        <v>10</v>
      </c>
      <c r="G64" s="22"/>
    </row>
    <row r="65" spans="1:7" ht="25.05" customHeight="1">
      <c r="A65" s="20">
        <v>62</v>
      </c>
      <c r="B65" s="21" t="s">
        <v>32</v>
      </c>
      <c r="C65" s="20" t="s">
        <v>155</v>
      </c>
      <c r="D65" s="17" t="s">
        <v>219</v>
      </c>
      <c r="E65" s="41" t="s">
        <v>258</v>
      </c>
      <c r="F65" s="36">
        <f>SUM(F64)</f>
        <v>10</v>
      </c>
      <c r="G65" s="36"/>
    </row>
    <row r="66" spans="1:7" ht="25.05" customHeight="1">
      <c r="A66" s="20">
        <v>63</v>
      </c>
      <c r="B66" s="21" t="s">
        <v>32</v>
      </c>
      <c r="C66" s="20" t="s">
        <v>155</v>
      </c>
      <c r="D66" s="20" t="s">
        <v>262</v>
      </c>
      <c r="E66" s="28" t="s">
        <v>425</v>
      </c>
      <c r="F66" s="22">
        <v>255</v>
      </c>
      <c r="G66" s="22"/>
    </row>
    <row r="67" spans="1:7" ht="25.05" customHeight="1">
      <c r="A67" s="20">
        <v>64</v>
      </c>
      <c r="B67" s="21" t="s">
        <v>32</v>
      </c>
      <c r="C67" s="20" t="s">
        <v>155</v>
      </c>
      <c r="D67" s="20" t="s">
        <v>262</v>
      </c>
      <c r="E67" s="28" t="s">
        <v>264</v>
      </c>
      <c r="F67" s="22">
        <v>40</v>
      </c>
      <c r="G67" s="22"/>
    </row>
    <row r="68" spans="1:7" ht="25.05" customHeight="1">
      <c r="A68" s="20">
        <v>65</v>
      </c>
      <c r="B68" s="21" t="s">
        <v>32</v>
      </c>
      <c r="C68" s="20" t="s">
        <v>155</v>
      </c>
      <c r="D68" s="20" t="s">
        <v>262</v>
      </c>
      <c r="E68" s="28" t="s">
        <v>265</v>
      </c>
      <c r="F68" s="22">
        <v>40</v>
      </c>
      <c r="G68" s="22"/>
    </row>
    <row r="69" spans="1:7" ht="25.05" customHeight="1">
      <c r="A69" s="20">
        <v>66</v>
      </c>
      <c r="B69" s="21" t="s">
        <v>32</v>
      </c>
      <c r="C69" s="20" t="s">
        <v>155</v>
      </c>
      <c r="D69" s="17" t="s">
        <v>219</v>
      </c>
      <c r="E69" s="41" t="s">
        <v>266</v>
      </c>
      <c r="F69" s="36">
        <f>SUM(F66:F68)</f>
        <v>335</v>
      </c>
      <c r="G69" s="36"/>
    </row>
    <row r="70" spans="1:7" ht="25.05" customHeight="1">
      <c r="A70" s="20">
        <v>67</v>
      </c>
      <c r="B70" s="21" t="s">
        <v>32</v>
      </c>
      <c r="C70" s="20" t="s">
        <v>155</v>
      </c>
      <c r="D70" s="17" t="s">
        <v>267</v>
      </c>
      <c r="E70" s="35" t="s">
        <v>884</v>
      </c>
      <c r="F70" s="36">
        <f>F69+F65+F63+F55+F50+F45+F42+F30+F22+F14</f>
        <v>2494.8000000000002</v>
      </c>
      <c r="G70" s="36"/>
    </row>
    <row r="71" spans="1:7" ht="25.05" customHeight="1">
      <c r="A71" s="231" t="s">
        <v>885</v>
      </c>
      <c r="B71" s="232"/>
      <c r="C71" s="232"/>
      <c r="D71" s="232"/>
      <c r="E71" s="232"/>
      <c r="F71" s="232"/>
      <c r="G71" s="233"/>
    </row>
    <row r="72" spans="1:7">
      <c r="D72" s="22"/>
    </row>
    <row r="73" spans="1:7">
      <c r="D73" s="90"/>
    </row>
  </sheetData>
  <autoFilter ref="A3:G71" xr:uid="{00000000-0009-0000-0000-000030000000}"/>
  <mergeCells count="3">
    <mergeCell ref="A1:G1"/>
    <mergeCell ref="A2:G2"/>
    <mergeCell ref="A71:G71"/>
  </mergeCells>
  <phoneticPr fontId="23" type="noConversion"/>
  <pageMargins left="0.59055118110236204" right="0.15748031496063" top="0.31496062992126" bottom="0.55118110236220497" header="0.31496062992126" footer="0.27559055118110198"/>
  <pageSetup paperSize="9" scale="94" fitToHeight="0" orientation="portrait" r:id="rId1"/>
  <headerFooter>
    <oddFooter>&amp;C&amp;8第 &amp;P 页，共 &amp;N 页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72"/>
  <sheetViews>
    <sheetView view="pageBreakPreview" zoomScaleNormal="130" workbookViewId="0">
      <selection activeCell="E63" sqref="E63"/>
    </sheetView>
  </sheetViews>
  <sheetFormatPr defaultColWidth="9" defaultRowHeight="15.75"/>
  <cols>
    <col min="1" max="1" width="4.06640625" style="31" customWidth="1"/>
    <col min="2" max="2" width="8.796875" style="32" customWidth="1"/>
    <col min="3" max="3" width="15.9296875" style="31" customWidth="1"/>
    <col min="4" max="4" width="10.53125" style="31" customWidth="1"/>
    <col min="5" max="5" width="40.19921875" style="33" customWidth="1"/>
    <col min="6" max="6" width="8" style="13" customWidth="1"/>
    <col min="7" max="7" width="9.06640625" style="13" customWidth="1"/>
    <col min="8" max="16384" width="9" style="16"/>
  </cols>
  <sheetData>
    <row r="1" spans="1:7" ht="25.05" customHeight="1">
      <c r="A1" s="215" t="s">
        <v>886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887</v>
      </c>
      <c r="B2" s="241"/>
      <c r="C2" s="241"/>
      <c r="D2" s="241"/>
      <c r="E2" s="242"/>
      <c r="F2" s="242"/>
      <c r="G2" s="242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5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157</v>
      </c>
      <c r="D4" s="20" t="s">
        <v>209</v>
      </c>
      <c r="E4" s="28" t="s">
        <v>210</v>
      </c>
      <c r="F4" s="22">
        <v>19</v>
      </c>
      <c r="G4" s="22"/>
    </row>
    <row r="5" spans="1:7" ht="25.05" customHeight="1">
      <c r="A5" s="20">
        <v>2</v>
      </c>
      <c r="B5" s="21" t="s">
        <v>32</v>
      </c>
      <c r="C5" s="20" t="s">
        <v>157</v>
      </c>
      <c r="D5" s="20" t="s">
        <v>209</v>
      </c>
      <c r="E5" s="28" t="s">
        <v>211</v>
      </c>
      <c r="F5" s="22">
        <v>15</v>
      </c>
      <c r="G5" s="22"/>
    </row>
    <row r="6" spans="1:7" ht="25.05" customHeight="1">
      <c r="A6" s="20">
        <v>3</v>
      </c>
      <c r="B6" s="21" t="s">
        <v>32</v>
      </c>
      <c r="C6" s="20" t="s">
        <v>157</v>
      </c>
      <c r="D6" s="20" t="s">
        <v>209</v>
      </c>
      <c r="E6" s="28" t="s">
        <v>212</v>
      </c>
      <c r="F6" s="22">
        <v>34</v>
      </c>
      <c r="G6" s="22"/>
    </row>
    <row r="7" spans="1:7" ht="25.05" customHeight="1">
      <c r="A7" s="20">
        <v>4</v>
      </c>
      <c r="B7" s="21" t="s">
        <v>32</v>
      </c>
      <c r="C7" s="20" t="s">
        <v>157</v>
      </c>
      <c r="D7" s="20" t="s">
        <v>209</v>
      </c>
      <c r="E7" s="28" t="s">
        <v>272</v>
      </c>
      <c r="F7" s="22">
        <v>34</v>
      </c>
      <c r="G7" s="22"/>
    </row>
    <row r="8" spans="1:7" ht="25.05" customHeight="1">
      <c r="A8" s="20">
        <v>5</v>
      </c>
      <c r="B8" s="21" t="s">
        <v>32</v>
      </c>
      <c r="C8" s="20" t="s">
        <v>157</v>
      </c>
      <c r="D8" s="20" t="s">
        <v>209</v>
      </c>
      <c r="E8" s="28" t="s">
        <v>214</v>
      </c>
      <c r="F8" s="22">
        <v>26</v>
      </c>
      <c r="G8" s="22"/>
    </row>
    <row r="9" spans="1:7" ht="25.05" customHeight="1">
      <c r="A9" s="20">
        <v>6</v>
      </c>
      <c r="B9" s="21" t="s">
        <v>32</v>
      </c>
      <c r="C9" s="20" t="s">
        <v>157</v>
      </c>
      <c r="D9" s="20" t="s">
        <v>209</v>
      </c>
      <c r="E9" s="28" t="s">
        <v>312</v>
      </c>
      <c r="F9" s="22">
        <v>10</v>
      </c>
      <c r="G9" s="22"/>
    </row>
    <row r="10" spans="1:7" ht="25.05" customHeight="1">
      <c r="A10" s="20">
        <v>7</v>
      </c>
      <c r="B10" s="21" t="s">
        <v>32</v>
      </c>
      <c r="C10" s="20" t="s">
        <v>157</v>
      </c>
      <c r="D10" s="20" t="s">
        <v>209</v>
      </c>
      <c r="E10" s="28" t="s">
        <v>216</v>
      </c>
      <c r="F10" s="22">
        <v>40</v>
      </c>
      <c r="G10" s="22"/>
    </row>
    <row r="11" spans="1:7" ht="25.05" customHeight="1">
      <c r="A11" s="20">
        <v>8</v>
      </c>
      <c r="B11" s="21" t="s">
        <v>32</v>
      </c>
      <c r="C11" s="20" t="s">
        <v>157</v>
      </c>
      <c r="D11" s="20" t="s">
        <v>209</v>
      </c>
      <c r="E11" s="28" t="s">
        <v>292</v>
      </c>
      <c r="F11" s="22">
        <v>18</v>
      </c>
      <c r="G11" s="22"/>
    </row>
    <row r="12" spans="1:7" ht="25.05" customHeight="1">
      <c r="A12" s="20">
        <v>9</v>
      </c>
      <c r="B12" s="21" t="s">
        <v>32</v>
      </c>
      <c r="C12" s="20" t="s">
        <v>157</v>
      </c>
      <c r="D12" s="20" t="s">
        <v>209</v>
      </c>
      <c r="E12" s="28" t="s">
        <v>217</v>
      </c>
      <c r="F12" s="22">
        <v>55</v>
      </c>
      <c r="G12" s="22"/>
    </row>
    <row r="13" spans="1:7" ht="25.05" customHeight="1">
      <c r="A13" s="20">
        <v>10</v>
      </c>
      <c r="B13" s="21" t="s">
        <v>32</v>
      </c>
      <c r="C13" s="20" t="s">
        <v>157</v>
      </c>
      <c r="D13" s="20" t="s">
        <v>209</v>
      </c>
      <c r="E13" s="28" t="s">
        <v>218</v>
      </c>
      <c r="F13" s="22">
        <v>10</v>
      </c>
      <c r="G13" s="22"/>
    </row>
    <row r="14" spans="1:7" ht="25.05" customHeight="1">
      <c r="A14" s="20">
        <v>11</v>
      </c>
      <c r="B14" s="21" t="s">
        <v>32</v>
      </c>
      <c r="C14" s="20" t="s">
        <v>157</v>
      </c>
      <c r="D14" s="17" t="s">
        <v>219</v>
      </c>
      <c r="E14" s="35" t="s">
        <v>220</v>
      </c>
      <c r="F14" s="36">
        <f>SUM(F4:F13)</f>
        <v>261</v>
      </c>
      <c r="G14" s="36"/>
    </row>
    <row r="15" spans="1:7" ht="25.05" customHeight="1">
      <c r="A15" s="20">
        <v>12</v>
      </c>
      <c r="B15" s="21" t="s">
        <v>32</v>
      </c>
      <c r="C15" s="20" t="s">
        <v>157</v>
      </c>
      <c r="D15" s="20" t="s">
        <v>401</v>
      </c>
      <c r="E15" s="28" t="s">
        <v>402</v>
      </c>
      <c r="F15" s="22">
        <v>34</v>
      </c>
      <c r="G15" s="22"/>
    </row>
    <row r="16" spans="1:7" ht="25.05" customHeight="1">
      <c r="A16" s="20">
        <v>13</v>
      </c>
      <c r="B16" s="21" t="s">
        <v>32</v>
      </c>
      <c r="C16" s="20" t="s">
        <v>157</v>
      </c>
      <c r="D16" s="20" t="s">
        <v>401</v>
      </c>
      <c r="E16" s="28" t="s">
        <v>403</v>
      </c>
      <c r="F16" s="22">
        <v>34</v>
      </c>
      <c r="G16" s="22"/>
    </row>
    <row r="17" spans="1:7" ht="25.05" customHeight="1">
      <c r="A17" s="20">
        <v>14</v>
      </c>
      <c r="B17" s="21" t="s">
        <v>32</v>
      </c>
      <c r="C17" s="20" t="s">
        <v>157</v>
      </c>
      <c r="D17" s="20" t="s">
        <v>401</v>
      </c>
      <c r="E17" s="28" t="s">
        <v>404</v>
      </c>
      <c r="F17" s="22">
        <v>140</v>
      </c>
      <c r="G17" s="22"/>
    </row>
    <row r="18" spans="1:7" ht="25.05" customHeight="1">
      <c r="A18" s="20">
        <v>15</v>
      </c>
      <c r="B18" s="21" t="s">
        <v>32</v>
      </c>
      <c r="C18" s="20" t="s">
        <v>157</v>
      </c>
      <c r="D18" s="20" t="s">
        <v>401</v>
      </c>
      <c r="E18" s="28" t="s">
        <v>405</v>
      </c>
      <c r="F18" s="22">
        <v>60</v>
      </c>
      <c r="G18" s="22"/>
    </row>
    <row r="19" spans="1:7" ht="25.05" customHeight="1">
      <c r="A19" s="20">
        <v>16</v>
      </c>
      <c r="B19" s="21" t="s">
        <v>32</v>
      </c>
      <c r="C19" s="20" t="s">
        <v>157</v>
      </c>
      <c r="D19" s="20" t="s">
        <v>401</v>
      </c>
      <c r="E19" s="28" t="s">
        <v>406</v>
      </c>
      <c r="F19" s="22">
        <v>20</v>
      </c>
      <c r="G19" s="22"/>
    </row>
    <row r="20" spans="1:7" ht="25.05" customHeight="1">
      <c r="A20" s="20">
        <v>17</v>
      </c>
      <c r="B20" s="21" t="s">
        <v>32</v>
      </c>
      <c r="C20" s="20" t="s">
        <v>157</v>
      </c>
      <c r="D20" s="20" t="s">
        <v>401</v>
      </c>
      <c r="E20" s="28" t="s">
        <v>459</v>
      </c>
      <c r="F20" s="22">
        <v>200</v>
      </c>
      <c r="G20" s="22"/>
    </row>
    <row r="21" spans="1:7" ht="25.05" customHeight="1">
      <c r="A21" s="20">
        <v>18</v>
      </c>
      <c r="B21" s="21" t="s">
        <v>32</v>
      </c>
      <c r="C21" s="20" t="s">
        <v>157</v>
      </c>
      <c r="D21" s="20" t="s">
        <v>401</v>
      </c>
      <c r="E21" s="28" t="s">
        <v>460</v>
      </c>
      <c r="F21" s="22">
        <v>16</v>
      </c>
      <c r="G21" s="22"/>
    </row>
    <row r="22" spans="1:7" ht="25.05" customHeight="1">
      <c r="A22" s="20">
        <v>19</v>
      </c>
      <c r="B22" s="21" t="s">
        <v>32</v>
      </c>
      <c r="C22" s="20" t="s">
        <v>157</v>
      </c>
      <c r="D22" s="17" t="s">
        <v>219</v>
      </c>
      <c r="E22" s="35" t="s">
        <v>409</v>
      </c>
      <c r="F22" s="36">
        <f>SUM(F15:F21)</f>
        <v>504</v>
      </c>
      <c r="G22" s="36"/>
    </row>
    <row r="23" spans="1:7" ht="25.05" customHeight="1">
      <c r="A23" s="20">
        <v>20</v>
      </c>
      <c r="B23" s="21" t="s">
        <v>32</v>
      </c>
      <c r="C23" s="20" t="s">
        <v>157</v>
      </c>
      <c r="D23" s="20" t="s">
        <v>221</v>
      </c>
      <c r="E23" s="28" t="s">
        <v>222</v>
      </c>
      <c r="F23" s="22">
        <v>14</v>
      </c>
      <c r="G23" s="22"/>
    </row>
    <row r="24" spans="1:7" ht="25.05" customHeight="1">
      <c r="A24" s="20">
        <v>21</v>
      </c>
      <c r="B24" s="21" t="s">
        <v>32</v>
      </c>
      <c r="C24" s="20" t="s">
        <v>157</v>
      </c>
      <c r="D24" s="20" t="s">
        <v>221</v>
      </c>
      <c r="E24" s="28" t="s">
        <v>461</v>
      </c>
      <c r="F24" s="22">
        <v>22</v>
      </c>
      <c r="G24" s="22"/>
    </row>
    <row r="25" spans="1:7" ht="25.05" customHeight="1">
      <c r="A25" s="20">
        <v>22</v>
      </c>
      <c r="B25" s="21" t="s">
        <v>32</v>
      </c>
      <c r="C25" s="20" t="s">
        <v>157</v>
      </c>
      <c r="D25" s="20" t="s">
        <v>221</v>
      </c>
      <c r="E25" s="28" t="s">
        <v>462</v>
      </c>
      <c r="F25" s="22">
        <v>12</v>
      </c>
      <c r="G25" s="22"/>
    </row>
    <row r="26" spans="1:7" ht="25.05" customHeight="1">
      <c r="A26" s="20">
        <v>23</v>
      </c>
      <c r="B26" s="21" t="s">
        <v>32</v>
      </c>
      <c r="C26" s="20" t="s">
        <v>157</v>
      </c>
      <c r="D26" s="20" t="s">
        <v>221</v>
      </c>
      <c r="E26" s="28" t="s">
        <v>224</v>
      </c>
      <c r="F26" s="22">
        <v>9</v>
      </c>
      <c r="G26" s="22"/>
    </row>
    <row r="27" spans="1:7" ht="25.05" customHeight="1">
      <c r="A27" s="20">
        <v>24</v>
      </c>
      <c r="B27" s="21" t="s">
        <v>32</v>
      </c>
      <c r="C27" s="20" t="s">
        <v>157</v>
      </c>
      <c r="D27" s="20" t="s">
        <v>221</v>
      </c>
      <c r="E27" s="28" t="s">
        <v>225</v>
      </c>
      <c r="F27" s="22">
        <v>20</v>
      </c>
      <c r="G27" s="22"/>
    </row>
    <row r="28" spans="1:7" ht="25.05" customHeight="1">
      <c r="A28" s="20">
        <v>25</v>
      </c>
      <c r="B28" s="21" t="s">
        <v>32</v>
      </c>
      <c r="C28" s="20" t="s">
        <v>157</v>
      </c>
      <c r="D28" s="20" t="s">
        <v>221</v>
      </c>
      <c r="E28" s="28" t="s">
        <v>226</v>
      </c>
      <c r="F28" s="22">
        <v>22</v>
      </c>
      <c r="G28" s="22"/>
    </row>
    <row r="29" spans="1:7" ht="25.05" customHeight="1">
      <c r="A29" s="20">
        <v>26</v>
      </c>
      <c r="B29" s="21" t="s">
        <v>32</v>
      </c>
      <c r="C29" s="20" t="s">
        <v>157</v>
      </c>
      <c r="D29" s="20" t="s">
        <v>221</v>
      </c>
      <c r="E29" s="28" t="s">
        <v>391</v>
      </c>
      <c r="F29" s="22">
        <v>20</v>
      </c>
      <c r="G29" s="22"/>
    </row>
    <row r="30" spans="1:7" ht="25.05" customHeight="1">
      <c r="A30" s="20">
        <v>27</v>
      </c>
      <c r="B30" s="21" t="s">
        <v>32</v>
      </c>
      <c r="C30" s="20" t="s">
        <v>157</v>
      </c>
      <c r="D30" s="17" t="s">
        <v>219</v>
      </c>
      <c r="E30" s="35" t="s">
        <v>228</v>
      </c>
      <c r="F30" s="35">
        <f>SUM(F23:F29)</f>
        <v>119</v>
      </c>
      <c r="G30" s="36"/>
    </row>
    <row r="31" spans="1:7" ht="25.05" customHeight="1">
      <c r="A31" s="20">
        <v>28</v>
      </c>
      <c r="B31" s="21" t="s">
        <v>32</v>
      </c>
      <c r="C31" s="20" t="s">
        <v>157</v>
      </c>
      <c r="D31" s="20" t="s">
        <v>229</v>
      </c>
      <c r="E31" s="28" t="s">
        <v>230</v>
      </c>
      <c r="F31" s="22">
        <v>14</v>
      </c>
      <c r="G31" s="22"/>
    </row>
    <row r="32" spans="1:7" ht="25.05" customHeight="1">
      <c r="A32" s="20">
        <v>29</v>
      </c>
      <c r="B32" s="21" t="s">
        <v>32</v>
      </c>
      <c r="C32" s="20" t="s">
        <v>157</v>
      </c>
      <c r="D32" s="20" t="s">
        <v>229</v>
      </c>
      <c r="E32" s="28" t="s">
        <v>231</v>
      </c>
      <c r="F32" s="22">
        <v>45</v>
      </c>
      <c r="G32" s="22"/>
    </row>
    <row r="33" spans="1:7" ht="25.05" customHeight="1">
      <c r="A33" s="20">
        <v>30</v>
      </c>
      <c r="B33" s="21" t="s">
        <v>32</v>
      </c>
      <c r="C33" s="20" t="s">
        <v>157</v>
      </c>
      <c r="D33" s="20" t="s">
        <v>229</v>
      </c>
      <c r="E33" s="28" t="s">
        <v>385</v>
      </c>
      <c r="F33" s="22">
        <v>18</v>
      </c>
      <c r="G33" s="22"/>
    </row>
    <row r="34" spans="1:7" ht="25.05" customHeight="1">
      <c r="A34" s="20">
        <v>31</v>
      </c>
      <c r="B34" s="21" t="s">
        <v>32</v>
      </c>
      <c r="C34" s="20" t="s">
        <v>157</v>
      </c>
      <c r="D34" s="20" t="s">
        <v>229</v>
      </c>
      <c r="E34" s="28" t="s">
        <v>412</v>
      </c>
      <c r="F34" s="22">
        <v>40</v>
      </c>
      <c r="G34" s="22"/>
    </row>
    <row r="35" spans="1:7" ht="25.05" customHeight="1">
      <c r="A35" s="20">
        <v>32</v>
      </c>
      <c r="B35" s="21" t="s">
        <v>32</v>
      </c>
      <c r="C35" s="20" t="s">
        <v>157</v>
      </c>
      <c r="D35" s="20" t="s">
        <v>229</v>
      </c>
      <c r="E35" s="28" t="s">
        <v>315</v>
      </c>
      <c r="F35" s="22">
        <v>25</v>
      </c>
      <c r="G35" s="22"/>
    </row>
    <row r="36" spans="1:7" ht="25.05" customHeight="1">
      <c r="A36" s="20">
        <v>33</v>
      </c>
      <c r="B36" s="21" t="s">
        <v>32</v>
      </c>
      <c r="C36" s="20" t="s">
        <v>157</v>
      </c>
      <c r="D36" s="20" t="s">
        <v>229</v>
      </c>
      <c r="E36" s="28" t="s">
        <v>888</v>
      </c>
      <c r="F36" s="22">
        <v>30</v>
      </c>
      <c r="G36" s="22"/>
    </row>
    <row r="37" spans="1:7" ht="25.05" customHeight="1">
      <c r="A37" s="20">
        <v>34</v>
      </c>
      <c r="B37" s="21" t="s">
        <v>32</v>
      </c>
      <c r="C37" s="20" t="s">
        <v>157</v>
      </c>
      <c r="D37" s="20" t="s">
        <v>229</v>
      </c>
      <c r="E37" s="28" t="s">
        <v>464</v>
      </c>
      <c r="F37" s="22">
        <v>20</v>
      </c>
      <c r="G37" s="22"/>
    </row>
    <row r="38" spans="1:7" ht="25.05" customHeight="1">
      <c r="A38" s="20">
        <v>35</v>
      </c>
      <c r="B38" s="21" t="s">
        <v>32</v>
      </c>
      <c r="C38" s="20" t="s">
        <v>157</v>
      </c>
      <c r="D38" s="20" t="s">
        <v>229</v>
      </c>
      <c r="E38" s="28" t="s">
        <v>415</v>
      </c>
      <c r="F38" s="22">
        <v>120</v>
      </c>
      <c r="G38" s="22"/>
    </row>
    <row r="39" spans="1:7" ht="25.05" customHeight="1">
      <c r="A39" s="20">
        <v>36</v>
      </c>
      <c r="B39" s="21" t="s">
        <v>32</v>
      </c>
      <c r="C39" s="20" t="s">
        <v>157</v>
      </c>
      <c r="D39" s="20" t="s">
        <v>229</v>
      </c>
      <c r="E39" s="28" t="s">
        <v>416</v>
      </c>
      <c r="F39" s="22">
        <v>8</v>
      </c>
      <c r="G39" s="22"/>
    </row>
    <row r="40" spans="1:7" ht="25.05" customHeight="1">
      <c r="A40" s="20">
        <v>37</v>
      </c>
      <c r="B40" s="21" t="s">
        <v>32</v>
      </c>
      <c r="C40" s="20" t="s">
        <v>157</v>
      </c>
      <c r="D40" s="20" t="s">
        <v>229</v>
      </c>
      <c r="E40" s="28" t="s">
        <v>430</v>
      </c>
      <c r="F40" s="22">
        <v>10</v>
      </c>
      <c r="G40" s="22"/>
    </row>
    <row r="41" spans="1:7" ht="25.05" customHeight="1">
      <c r="A41" s="20">
        <v>38</v>
      </c>
      <c r="B41" s="21" t="s">
        <v>32</v>
      </c>
      <c r="C41" s="20" t="s">
        <v>157</v>
      </c>
      <c r="D41" s="20" t="s">
        <v>229</v>
      </c>
      <c r="E41" s="28" t="s">
        <v>431</v>
      </c>
      <c r="F41" s="22">
        <v>12</v>
      </c>
      <c r="G41" s="22"/>
    </row>
    <row r="42" spans="1:7" ht="25.05" customHeight="1">
      <c r="A42" s="20">
        <v>39</v>
      </c>
      <c r="B42" s="21" t="s">
        <v>32</v>
      </c>
      <c r="C42" s="20" t="s">
        <v>157</v>
      </c>
      <c r="D42" s="17" t="s">
        <v>219</v>
      </c>
      <c r="E42" s="35" t="s">
        <v>238</v>
      </c>
      <c r="F42" s="35">
        <f>SUM(F31:F41)</f>
        <v>342</v>
      </c>
      <c r="G42" s="36"/>
    </row>
    <row r="43" spans="1:7" ht="25.05" customHeight="1">
      <c r="A43" s="20">
        <v>40</v>
      </c>
      <c r="B43" s="21" t="s">
        <v>32</v>
      </c>
      <c r="C43" s="20" t="s">
        <v>157</v>
      </c>
      <c r="D43" s="20" t="s">
        <v>239</v>
      </c>
      <c r="E43" s="28" t="s">
        <v>240</v>
      </c>
      <c r="F43" s="22">
        <v>70</v>
      </c>
      <c r="G43" s="22"/>
    </row>
    <row r="44" spans="1:7" ht="29.55" customHeight="1">
      <c r="A44" s="20">
        <v>41</v>
      </c>
      <c r="B44" s="21" t="s">
        <v>32</v>
      </c>
      <c r="C44" s="20" t="s">
        <v>157</v>
      </c>
      <c r="D44" s="20" t="s">
        <v>239</v>
      </c>
      <c r="E44" s="28" t="s">
        <v>241</v>
      </c>
      <c r="F44" s="22">
        <v>60</v>
      </c>
      <c r="G44" s="22"/>
    </row>
    <row r="45" spans="1:7" ht="25.05" customHeight="1">
      <c r="A45" s="20">
        <v>42</v>
      </c>
      <c r="B45" s="21" t="s">
        <v>32</v>
      </c>
      <c r="C45" s="20" t="s">
        <v>157</v>
      </c>
      <c r="D45" s="17" t="s">
        <v>219</v>
      </c>
      <c r="E45" s="35" t="s">
        <v>242</v>
      </c>
      <c r="F45" s="36">
        <f>SUM(F43:F44)</f>
        <v>130</v>
      </c>
      <c r="G45" s="36"/>
    </row>
    <row r="46" spans="1:7" ht="25.05" customHeight="1">
      <c r="A46" s="20">
        <v>43</v>
      </c>
      <c r="B46" s="21" t="s">
        <v>32</v>
      </c>
      <c r="C46" s="20" t="s">
        <v>157</v>
      </c>
      <c r="D46" s="20" t="s">
        <v>259</v>
      </c>
      <c r="E46" s="28" t="s">
        <v>449</v>
      </c>
      <c r="F46" s="22">
        <v>10</v>
      </c>
      <c r="G46" s="22"/>
    </row>
    <row r="47" spans="1:7" ht="25.05" customHeight="1">
      <c r="A47" s="20">
        <v>44</v>
      </c>
      <c r="B47" s="21" t="s">
        <v>32</v>
      </c>
      <c r="C47" s="20" t="s">
        <v>157</v>
      </c>
      <c r="D47" s="20" t="s">
        <v>259</v>
      </c>
      <c r="E47" s="28" t="s">
        <v>450</v>
      </c>
      <c r="F47" s="22">
        <v>45</v>
      </c>
      <c r="G47" s="22"/>
    </row>
    <row r="48" spans="1:7" ht="25.05" customHeight="1">
      <c r="A48" s="20">
        <v>45</v>
      </c>
      <c r="B48" s="21" t="s">
        <v>32</v>
      </c>
      <c r="C48" s="20" t="s">
        <v>157</v>
      </c>
      <c r="D48" s="17" t="s">
        <v>219</v>
      </c>
      <c r="E48" s="41" t="s">
        <v>261</v>
      </c>
      <c r="F48" s="36">
        <f>SUM(F46:F47)</f>
        <v>55</v>
      </c>
      <c r="G48" s="36"/>
    </row>
    <row r="49" spans="1:7" ht="25.05" customHeight="1">
      <c r="A49" s="20">
        <v>46</v>
      </c>
      <c r="B49" s="21" t="s">
        <v>32</v>
      </c>
      <c r="C49" s="20" t="s">
        <v>157</v>
      </c>
      <c r="D49" s="20" t="s">
        <v>243</v>
      </c>
      <c r="E49" s="28" t="s">
        <v>465</v>
      </c>
      <c r="F49" s="22">
        <v>11.4</v>
      </c>
      <c r="G49" s="22"/>
    </row>
    <row r="50" spans="1:7" ht="25.05" customHeight="1">
      <c r="A50" s="20">
        <v>47</v>
      </c>
      <c r="B50" s="21" t="s">
        <v>32</v>
      </c>
      <c r="C50" s="20" t="s">
        <v>157</v>
      </c>
      <c r="D50" s="20" t="s">
        <v>243</v>
      </c>
      <c r="E50" s="28" t="s">
        <v>466</v>
      </c>
      <c r="F50" s="22">
        <v>11.4</v>
      </c>
      <c r="G50" s="22"/>
    </row>
    <row r="51" spans="1:7" ht="25.05" customHeight="1">
      <c r="A51" s="20">
        <v>48</v>
      </c>
      <c r="B51" s="21" t="s">
        <v>32</v>
      </c>
      <c r="C51" s="20" t="s">
        <v>157</v>
      </c>
      <c r="D51" s="20" t="s">
        <v>243</v>
      </c>
      <c r="E51" s="28" t="s">
        <v>467</v>
      </c>
      <c r="F51" s="22">
        <v>19.8</v>
      </c>
      <c r="G51" s="22"/>
    </row>
    <row r="52" spans="1:7" ht="25.05" customHeight="1">
      <c r="A52" s="20">
        <v>49</v>
      </c>
      <c r="B52" s="21" t="s">
        <v>32</v>
      </c>
      <c r="C52" s="20" t="s">
        <v>157</v>
      </c>
      <c r="D52" s="20" t="s">
        <v>243</v>
      </c>
      <c r="E52" s="28" t="s">
        <v>247</v>
      </c>
      <c r="F52" s="22">
        <v>2</v>
      </c>
      <c r="G52" s="22"/>
    </row>
    <row r="53" spans="1:7" ht="25.05" customHeight="1">
      <c r="A53" s="20">
        <v>50</v>
      </c>
      <c r="B53" s="21" t="s">
        <v>32</v>
      </c>
      <c r="C53" s="20" t="s">
        <v>157</v>
      </c>
      <c r="D53" s="17" t="s">
        <v>219</v>
      </c>
      <c r="E53" s="35" t="s">
        <v>248</v>
      </c>
      <c r="F53" s="36">
        <f>SUM(F49:F52)</f>
        <v>44.6</v>
      </c>
      <c r="G53" s="36"/>
    </row>
    <row r="54" spans="1:7" ht="25.05" customHeight="1">
      <c r="A54" s="20">
        <v>51</v>
      </c>
      <c r="B54" s="21" t="s">
        <v>32</v>
      </c>
      <c r="C54" s="20" t="s">
        <v>157</v>
      </c>
      <c r="D54" s="20" t="s">
        <v>249</v>
      </c>
      <c r="E54" s="28" t="s">
        <v>281</v>
      </c>
      <c r="F54" s="22">
        <v>10</v>
      </c>
      <c r="G54" s="22"/>
    </row>
    <row r="55" spans="1:7" ht="25.05" customHeight="1">
      <c r="A55" s="20">
        <v>52</v>
      </c>
      <c r="B55" s="21" t="s">
        <v>32</v>
      </c>
      <c r="C55" s="20" t="s">
        <v>157</v>
      </c>
      <c r="D55" s="20" t="s">
        <v>249</v>
      </c>
      <c r="E55" s="28" t="s">
        <v>282</v>
      </c>
      <c r="F55" s="22">
        <v>10</v>
      </c>
      <c r="G55" s="22"/>
    </row>
    <row r="56" spans="1:7" s="47" customFormat="1" ht="25.05" customHeight="1">
      <c r="A56" s="20">
        <v>53</v>
      </c>
      <c r="B56" s="65" t="s">
        <v>32</v>
      </c>
      <c r="C56" s="38" t="s">
        <v>157</v>
      </c>
      <c r="D56" s="38" t="s">
        <v>249</v>
      </c>
      <c r="E56" s="39" t="s">
        <v>865</v>
      </c>
      <c r="F56" s="40">
        <v>0</v>
      </c>
      <c r="G56" s="34" t="s">
        <v>889</v>
      </c>
    </row>
    <row r="57" spans="1:7" s="47" customFormat="1" ht="25.05" customHeight="1">
      <c r="A57" s="20">
        <v>54</v>
      </c>
      <c r="B57" s="65" t="s">
        <v>32</v>
      </c>
      <c r="C57" s="38" t="s">
        <v>157</v>
      </c>
      <c r="D57" s="38" t="s">
        <v>249</v>
      </c>
      <c r="E57" s="39" t="s">
        <v>599</v>
      </c>
      <c r="F57" s="40">
        <v>10</v>
      </c>
      <c r="G57" s="34"/>
    </row>
    <row r="58" spans="1:7" s="47" customFormat="1" ht="25.05" customHeight="1">
      <c r="A58" s="20">
        <v>55</v>
      </c>
      <c r="B58" s="65" t="s">
        <v>32</v>
      </c>
      <c r="C58" s="38" t="s">
        <v>157</v>
      </c>
      <c r="D58" s="38" t="s">
        <v>249</v>
      </c>
      <c r="E58" s="39" t="s">
        <v>600</v>
      </c>
      <c r="F58" s="40">
        <v>40</v>
      </c>
      <c r="G58" s="34"/>
    </row>
    <row r="59" spans="1:7" s="47" customFormat="1" ht="25.05" customHeight="1">
      <c r="A59" s="20">
        <v>56</v>
      </c>
      <c r="B59" s="65" t="s">
        <v>32</v>
      </c>
      <c r="C59" s="38" t="s">
        <v>157</v>
      </c>
      <c r="D59" s="38" t="s">
        <v>249</v>
      </c>
      <c r="E59" s="39" t="s">
        <v>868</v>
      </c>
      <c r="F59" s="34">
        <v>36</v>
      </c>
      <c r="G59" s="34"/>
    </row>
    <row r="60" spans="1:7" s="47" customFormat="1" ht="25.05" customHeight="1">
      <c r="A60" s="20">
        <v>57</v>
      </c>
      <c r="B60" s="65" t="s">
        <v>32</v>
      </c>
      <c r="C60" s="38" t="s">
        <v>157</v>
      </c>
      <c r="D60" s="38" t="s">
        <v>249</v>
      </c>
      <c r="E60" s="39" t="s">
        <v>867</v>
      </c>
      <c r="F60" s="40">
        <v>40</v>
      </c>
      <c r="G60" s="34"/>
    </row>
    <row r="61" spans="1:7" ht="25.05" customHeight="1">
      <c r="A61" s="20">
        <v>58</v>
      </c>
      <c r="B61" s="21" t="s">
        <v>32</v>
      </c>
      <c r="C61" s="20" t="s">
        <v>157</v>
      </c>
      <c r="D61" s="20" t="s">
        <v>249</v>
      </c>
      <c r="E61" s="28" t="s">
        <v>284</v>
      </c>
      <c r="F61" s="22">
        <v>10</v>
      </c>
      <c r="G61" s="22"/>
    </row>
    <row r="62" spans="1:7" ht="25.05" customHeight="1">
      <c r="A62" s="20">
        <v>59</v>
      </c>
      <c r="B62" s="21" t="s">
        <v>32</v>
      </c>
      <c r="C62" s="20" t="s">
        <v>157</v>
      </c>
      <c r="D62" s="20" t="s">
        <v>249</v>
      </c>
      <c r="E62" s="28" t="s">
        <v>454</v>
      </c>
      <c r="F62" s="22">
        <v>10</v>
      </c>
      <c r="G62" s="22"/>
    </row>
    <row r="63" spans="1:7" ht="25.05" customHeight="1">
      <c r="A63" s="20">
        <v>60</v>
      </c>
      <c r="B63" s="21" t="s">
        <v>32</v>
      </c>
      <c r="C63" s="20" t="s">
        <v>157</v>
      </c>
      <c r="D63" s="20" t="s">
        <v>249</v>
      </c>
      <c r="E63" s="28" t="s">
        <v>387</v>
      </c>
      <c r="F63" s="22">
        <v>10</v>
      </c>
      <c r="G63" s="22"/>
    </row>
    <row r="64" spans="1:7" ht="25.05" customHeight="1">
      <c r="A64" s="20">
        <v>61</v>
      </c>
      <c r="B64" s="21" t="s">
        <v>32</v>
      </c>
      <c r="C64" s="20" t="s">
        <v>157</v>
      </c>
      <c r="D64" s="17" t="s">
        <v>219</v>
      </c>
      <c r="E64" s="35" t="s">
        <v>255</v>
      </c>
      <c r="F64" s="36">
        <f>SUM(F54:F63)</f>
        <v>176</v>
      </c>
      <c r="G64" s="36"/>
    </row>
    <row r="65" spans="1:7" ht="25.05" customHeight="1">
      <c r="A65" s="20">
        <v>62</v>
      </c>
      <c r="B65" s="21" t="s">
        <v>32</v>
      </c>
      <c r="C65" s="20" t="s">
        <v>157</v>
      </c>
      <c r="D65" s="69" t="s">
        <v>256</v>
      </c>
      <c r="E65" s="28" t="s">
        <v>286</v>
      </c>
      <c r="F65" s="23">
        <v>10</v>
      </c>
      <c r="G65" s="22"/>
    </row>
    <row r="66" spans="1:7" ht="25.05" customHeight="1">
      <c r="A66" s="20">
        <v>63</v>
      </c>
      <c r="B66" s="21" t="s">
        <v>32</v>
      </c>
      <c r="C66" s="20" t="s">
        <v>157</v>
      </c>
      <c r="D66" s="17" t="s">
        <v>219</v>
      </c>
      <c r="E66" s="35" t="s">
        <v>258</v>
      </c>
      <c r="F66" s="36">
        <f>SUM(F65)</f>
        <v>10</v>
      </c>
      <c r="G66" s="36"/>
    </row>
    <row r="67" spans="1:7" ht="25.05" customHeight="1">
      <c r="A67" s="20">
        <v>64</v>
      </c>
      <c r="B67" s="21" t="s">
        <v>32</v>
      </c>
      <c r="C67" s="20" t="s">
        <v>157</v>
      </c>
      <c r="D67" s="20" t="s">
        <v>262</v>
      </c>
      <c r="E67" s="28" t="s">
        <v>425</v>
      </c>
      <c r="F67" s="22">
        <v>255</v>
      </c>
      <c r="G67" s="22"/>
    </row>
    <row r="68" spans="1:7" ht="25.05" customHeight="1">
      <c r="A68" s="20">
        <v>65</v>
      </c>
      <c r="B68" s="21" t="s">
        <v>32</v>
      </c>
      <c r="C68" s="20" t="s">
        <v>157</v>
      </c>
      <c r="D68" s="20" t="s">
        <v>262</v>
      </c>
      <c r="E68" s="28" t="s">
        <v>264</v>
      </c>
      <c r="F68" s="22">
        <v>40</v>
      </c>
      <c r="G68" s="22"/>
    </row>
    <row r="69" spans="1:7" ht="25.05" customHeight="1">
      <c r="A69" s="20">
        <v>66</v>
      </c>
      <c r="B69" s="21" t="s">
        <v>32</v>
      </c>
      <c r="C69" s="20" t="s">
        <v>157</v>
      </c>
      <c r="D69" s="20" t="s">
        <v>262</v>
      </c>
      <c r="E69" s="28" t="s">
        <v>265</v>
      </c>
      <c r="F69" s="22">
        <v>40</v>
      </c>
      <c r="G69" s="22"/>
    </row>
    <row r="70" spans="1:7" ht="25.05" customHeight="1">
      <c r="A70" s="20">
        <v>67</v>
      </c>
      <c r="B70" s="21" t="s">
        <v>32</v>
      </c>
      <c r="C70" s="20" t="s">
        <v>157</v>
      </c>
      <c r="D70" s="17" t="s">
        <v>219</v>
      </c>
      <c r="E70" s="35" t="s">
        <v>266</v>
      </c>
      <c r="F70" s="36">
        <f>SUM(F67:F69)</f>
        <v>335</v>
      </c>
      <c r="G70" s="36"/>
    </row>
    <row r="71" spans="1:7" ht="25.05" customHeight="1">
      <c r="A71" s="20">
        <v>68</v>
      </c>
      <c r="B71" s="21" t="s">
        <v>32</v>
      </c>
      <c r="C71" s="20" t="s">
        <v>157</v>
      </c>
      <c r="D71" s="17" t="s">
        <v>267</v>
      </c>
      <c r="E71" s="35" t="s">
        <v>890</v>
      </c>
      <c r="F71" s="36">
        <v>1977</v>
      </c>
      <c r="G71" s="36"/>
    </row>
    <row r="72" spans="1:7" ht="25.05" customHeight="1">
      <c r="A72" s="240" t="s">
        <v>891</v>
      </c>
      <c r="B72" s="240"/>
      <c r="C72" s="240"/>
      <c r="D72" s="240"/>
      <c r="E72" s="240"/>
      <c r="F72" s="240"/>
      <c r="G72" s="240"/>
    </row>
  </sheetData>
  <autoFilter ref="A3:G72" xr:uid="{00000000-0009-0000-0000-000031000000}"/>
  <mergeCells count="3">
    <mergeCell ref="A1:G1"/>
    <mergeCell ref="A2:G2"/>
    <mergeCell ref="A72:G72"/>
  </mergeCells>
  <phoneticPr fontId="23" type="noConversion"/>
  <pageMargins left="0.59055118110236204" right="0.196850393700787" top="0.31496062992126" bottom="0.47244094488188998" header="0.31496062992126" footer="0.23622047244094499"/>
  <pageSetup paperSize="9" orientation="portrait" r:id="rId1"/>
  <headerFooter>
    <oddFooter>&amp;C&amp;8第 &amp;P 页，共 &amp;N 页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54"/>
  <sheetViews>
    <sheetView view="pageBreakPreview" zoomScale="160" zoomScaleNormal="100" workbookViewId="0">
      <pane ySplit="3" topLeftCell="A48" activePane="bottomLeft" state="frozen"/>
      <selection pane="bottomLeft" activeCell="A54" sqref="A54:G54"/>
    </sheetView>
  </sheetViews>
  <sheetFormatPr defaultColWidth="9" defaultRowHeight="15.75"/>
  <cols>
    <col min="1" max="1" width="4.06640625" style="13" customWidth="1"/>
    <col min="2" max="2" width="9.9296875" style="14" customWidth="1"/>
    <col min="3" max="3" width="11.53125" style="13" customWidth="1"/>
    <col min="4" max="4" width="10.265625" style="13" customWidth="1"/>
    <col min="5" max="5" width="44.59765625" style="13" customWidth="1"/>
    <col min="6" max="6" width="7.73046875" style="15" customWidth="1"/>
    <col min="7" max="7" width="7.53125" style="13" customWidth="1"/>
    <col min="8" max="16384" width="9" style="16"/>
  </cols>
  <sheetData>
    <row r="1" spans="1:7" ht="25.05" customHeight="1">
      <c r="A1" s="215" t="s">
        <v>892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893</v>
      </c>
      <c r="B2" s="241"/>
      <c r="C2" s="241"/>
      <c r="D2" s="241"/>
      <c r="E2" s="241"/>
      <c r="F2" s="241"/>
      <c r="G2" s="241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23</v>
      </c>
      <c r="C4" s="20" t="s">
        <v>159</v>
      </c>
      <c r="D4" s="20" t="s">
        <v>209</v>
      </c>
      <c r="E4" s="22" t="s">
        <v>210</v>
      </c>
      <c r="F4" s="23">
        <v>19</v>
      </c>
      <c r="G4" s="22"/>
    </row>
    <row r="5" spans="1:7" ht="25.05" customHeight="1">
      <c r="A5" s="20">
        <v>2</v>
      </c>
      <c r="B5" s="21" t="s">
        <v>23</v>
      </c>
      <c r="C5" s="20" t="s">
        <v>159</v>
      </c>
      <c r="D5" s="20" t="s">
        <v>209</v>
      </c>
      <c r="E5" s="22" t="s">
        <v>211</v>
      </c>
      <c r="F5" s="23">
        <v>15</v>
      </c>
      <c r="G5" s="22"/>
    </row>
    <row r="6" spans="1:7" ht="25.05" customHeight="1">
      <c r="A6" s="20">
        <v>3</v>
      </c>
      <c r="B6" s="21" t="s">
        <v>23</v>
      </c>
      <c r="C6" s="20" t="s">
        <v>159</v>
      </c>
      <c r="D6" s="20" t="s">
        <v>209</v>
      </c>
      <c r="E6" s="22" t="s">
        <v>212</v>
      </c>
      <c r="F6" s="23">
        <v>34</v>
      </c>
      <c r="G6" s="22"/>
    </row>
    <row r="7" spans="1:7" ht="25.05" customHeight="1">
      <c r="A7" s="20">
        <v>4</v>
      </c>
      <c r="B7" s="21" t="s">
        <v>23</v>
      </c>
      <c r="C7" s="20" t="s">
        <v>159</v>
      </c>
      <c r="D7" s="20" t="s">
        <v>209</v>
      </c>
      <c r="E7" s="22" t="s">
        <v>272</v>
      </c>
      <c r="F7" s="23">
        <v>34</v>
      </c>
      <c r="G7" s="22"/>
    </row>
    <row r="8" spans="1:7" ht="25.05" customHeight="1">
      <c r="A8" s="20">
        <v>5</v>
      </c>
      <c r="B8" s="21" t="s">
        <v>23</v>
      </c>
      <c r="C8" s="20" t="s">
        <v>159</v>
      </c>
      <c r="D8" s="20" t="s">
        <v>209</v>
      </c>
      <c r="E8" s="22" t="s">
        <v>214</v>
      </c>
      <c r="F8" s="23">
        <v>26</v>
      </c>
      <c r="G8" s="22"/>
    </row>
    <row r="9" spans="1:7" ht="25.05" customHeight="1">
      <c r="A9" s="20">
        <v>6</v>
      </c>
      <c r="B9" s="21" t="s">
        <v>23</v>
      </c>
      <c r="C9" s="20" t="s">
        <v>159</v>
      </c>
      <c r="D9" s="20" t="s">
        <v>209</v>
      </c>
      <c r="E9" s="22" t="s">
        <v>312</v>
      </c>
      <c r="F9" s="23">
        <v>10</v>
      </c>
      <c r="G9" s="22"/>
    </row>
    <row r="10" spans="1:7" ht="25.05" customHeight="1">
      <c r="A10" s="20">
        <v>7</v>
      </c>
      <c r="B10" s="21" t="s">
        <v>23</v>
      </c>
      <c r="C10" s="20" t="s">
        <v>159</v>
      </c>
      <c r="D10" s="20" t="s">
        <v>209</v>
      </c>
      <c r="E10" s="22" t="s">
        <v>216</v>
      </c>
      <c r="F10" s="23">
        <v>35</v>
      </c>
      <c r="G10" s="22"/>
    </row>
    <row r="11" spans="1:7" ht="25.05" customHeight="1">
      <c r="A11" s="20">
        <v>8</v>
      </c>
      <c r="B11" s="21" t="s">
        <v>23</v>
      </c>
      <c r="C11" s="20" t="s">
        <v>159</v>
      </c>
      <c r="D11" s="20" t="s">
        <v>209</v>
      </c>
      <c r="E11" s="22" t="s">
        <v>292</v>
      </c>
      <c r="F11" s="23">
        <v>12</v>
      </c>
      <c r="G11" s="22"/>
    </row>
    <row r="12" spans="1:7" ht="25.05" customHeight="1">
      <c r="A12" s="20">
        <v>9</v>
      </c>
      <c r="B12" s="21" t="s">
        <v>23</v>
      </c>
      <c r="C12" s="20" t="s">
        <v>159</v>
      </c>
      <c r="D12" s="20" t="s">
        <v>209</v>
      </c>
      <c r="E12" s="22" t="s">
        <v>313</v>
      </c>
      <c r="F12" s="23">
        <v>55</v>
      </c>
      <c r="G12" s="22"/>
    </row>
    <row r="13" spans="1:7" ht="25.05" customHeight="1">
      <c r="A13" s="20">
        <v>10</v>
      </c>
      <c r="B13" s="21" t="s">
        <v>23</v>
      </c>
      <c r="C13" s="20" t="s">
        <v>159</v>
      </c>
      <c r="D13" s="20" t="s">
        <v>209</v>
      </c>
      <c r="E13" s="22" t="s">
        <v>218</v>
      </c>
      <c r="F13" s="23">
        <v>10</v>
      </c>
      <c r="G13" s="22"/>
    </row>
    <row r="14" spans="1:7" ht="25.05" customHeight="1">
      <c r="A14" s="20">
        <v>11</v>
      </c>
      <c r="B14" s="21" t="s">
        <v>23</v>
      </c>
      <c r="C14" s="20" t="s">
        <v>159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7" ht="25.05" customHeight="1">
      <c r="A15" s="20">
        <v>12</v>
      </c>
      <c r="B15" s="21" t="s">
        <v>23</v>
      </c>
      <c r="C15" s="20" t="s">
        <v>159</v>
      </c>
      <c r="D15" s="20" t="s">
        <v>221</v>
      </c>
      <c r="E15" s="22" t="s">
        <v>222</v>
      </c>
      <c r="F15" s="23">
        <v>14</v>
      </c>
      <c r="G15" s="22"/>
    </row>
    <row r="16" spans="1:7" ht="25.05" customHeight="1">
      <c r="A16" s="20">
        <v>13</v>
      </c>
      <c r="B16" s="21" t="s">
        <v>23</v>
      </c>
      <c r="C16" s="20" t="s">
        <v>159</v>
      </c>
      <c r="D16" s="20" t="s">
        <v>221</v>
      </c>
      <c r="E16" s="22" t="s">
        <v>223</v>
      </c>
      <c r="F16" s="23">
        <v>22</v>
      </c>
      <c r="G16" s="22"/>
    </row>
    <row r="17" spans="1:7" ht="25.05" customHeight="1">
      <c r="A17" s="20">
        <v>14</v>
      </c>
      <c r="B17" s="21" t="s">
        <v>23</v>
      </c>
      <c r="C17" s="20" t="s">
        <v>159</v>
      </c>
      <c r="D17" s="20" t="s">
        <v>221</v>
      </c>
      <c r="E17" s="22" t="s">
        <v>314</v>
      </c>
      <c r="F17" s="23">
        <v>9</v>
      </c>
      <c r="G17" s="22"/>
    </row>
    <row r="18" spans="1:7" ht="25.05" customHeight="1">
      <c r="A18" s="20">
        <v>15</v>
      </c>
      <c r="B18" s="21" t="s">
        <v>23</v>
      </c>
      <c r="C18" s="20" t="s">
        <v>159</v>
      </c>
      <c r="D18" s="20" t="s">
        <v>221</v>
      </c>
      <c r="E18" s="22" t="s">
        <v>225</v>
      </c>
      <c r="F18" s="23">
        <v>20</v>
      </c>
      <c r="G18" s="22"/>
    </row>
    <row r="19" spans="1:7" ht="25.05" customHeight="1">
      <c r="A19" s="20">
        <v>16</v>
      </c>
      <c r="B19" s="21" t="s">
        <v>23</v>
      </c>
      <c r="C19" s="20" t="s">
        <v>159</v>
      </c>
      <c r="D19" s="20" t="s">
        <v>221</v>
      </c>
      <c r="E19" s="22" t="s">
        <v>294</v>
      </c>
      <c r="F19" s="23">
        <v>22</v>
      </c>
      <c r="G19" s="22"/>
    </row>
    <row r="20" spans="1:7" ht="25.05" customHeight="1">
      <c r="A20" s="20">
        <v>17</v>
      </c>
      <c r="B20" s="21" t="s">
        <v>23</v>
      </c>
      <c r="C20" s="20" t="s">
        <v>159</v>
      </c>
      <c r="D20" s="20" t="s">
        <v>221</v>
      </c>
      <c r="E20" s="22" t="s">
        <v>227</v>
      </c>
      <c r="F20" s="23">
        <v>20</v>
      </c>
      <c r="G20" s="22"/>
    </row>
    <row r="21" spans="1:7" ht="25.05" customHeight="1">
      <c r="A21" s="20">
        <v>18</v>
      </c>
      <c r="B21" s="21" t="s">
        <v>23</v>
      </c>
      <c r="C21" s="20" t="s">
        <v>159</v>
      </c>
      <c r="D21" s="17" t="s">
        <v>219</v>
      </c>
      <c r="E21" s="36" t="s">
        <v>228</v>
      </c>
      <c r="F21" s="37">
        <f>SUM(F15:F20)</f>
        <v>107</v>
      </c>
      <c r="G21" s="36"/>
    </row>
    <row r="22" spans="1:7" ht="25.05" customHeight="1">
      <c r="A22" s="20">
        <v>19</v>
      </c>
      <c r="B22" s="21" t="s">
        <v>23</v>
      </c>
      <c r="C22" s="20" t="s">
        <v>159</v>
      </c>
      <c r="D22" s="20" t="s">
        <v>229</v>
      </c>
      <c r="E22" s="22" t="s">
        <v>230</v>
      </c>
      <c r="F22" s="23">
        <v>14</v>
      </c>
      <c r="G22" s="22"/>
    </row>
    <row r="23" spans="1:7" ht="25.05" customHeight="1">
      <c r="A23" s="20">
        <v>20</v>
      </c>
      <c r="B23" s="21" t="s">
        <v>23</v>
      </c>
      <c r="C23" s="20" t="s">
        <v>159</v>
      </c>
      <c r="D23" s="20" t="s">
        <v>229</v>
      </c>
      <c r="E23" s="22" t="s">
        <v>231</v>
      </c>
      <c r="F23" s="23">
        <v>32</v>
      </c>
      <c r="G23" s="22"/>
    </row>
    <row r="24" spans="1:7" ht="25.05" customHeight="1">
      <c r="A24" s="20">
        <v>21</v>
      </c>
      <c r="B24" s="21" t="s">
        <v>23</v>
      </c>
      <c r="C24" s="20" t="s">
        <v>159</v>
      </c>
      <c r="D24" s="20" t="s">
        <v>229</v>
      </c>
      <c r="E24" s="22" t="s">
        <v>232</v>
      </c>
      <c r="F24" s="23">
        <v>18</v>
      </c>
      <c r="G24" s="22"/>
    </row>
    <row r="25" spans="1:7" ht="25.05" customHeight="1">
      <c r="A25" s="20">
        <v>22</v>
      </c>
      <c r="B25" s="21" t="s">
        <v>23</v>
      </c>
      <c r="C25" s="20" t="s">
        <v>159</v>
      </c>
      <c r="D25" s="20" t="s">
        <v>229</v>
      </c>
      <c r="E25" s="22" t="s">
        <v>315</v>
      </c>
      <c r="F25" s="23">
        <v>25</v>
      </c>
      <c r="G25" s="22"/>
    </row>
    <row r="26" spans="1:7" ht="25.05" customHeight="1">
      <c r="A26" s="20">
        <v>23</v>
      </c>
      <c r="B26" s="21" t="s">
        <v>23</v>
      </c>
      <c r="C26" s="20" t="s">
        <v>159</v>
      </c>
      <c r="D26" s="20" t="s">
        <v>229</v>
      </c>
      <c r="E26" s="22" t="s">
        <v>237</v>
      </c>
      <c r="F26" s="23">
        <v>8</v>
      </c>
      <c r="G26" s="22"/>
    </row>
    <row r="27" spans="1:7" ht="25.05" customHeight="1">
      <c r="A27" s="20">
        <v>24</v>
      </c>
      <c r="B27" s="21" t="s">
        <v>23</v>
      </c>
      <c r="C27" s="20" t="s">
        <v>159</v>
      </c>
      <c r="D27" s="17" t="s">
        <v>219</v>
      </c>
      <c r="E27" s="36" t="s">
        <v>238</v>
      </c>
      <c r="F27" s="37">
        <f>SUM(F22:F26)</f>
        <v>97</v>
      </c>
      <c r="G27" s="36"/>
    </row>
    <row r="28" spans="1:7" ht="25.05" customHeight="1">
      <c r="A28" s="20">
        <v>25</v>
      </c>
      <c r="B28" s="21" t="s">
        <v>23</v>
      </c>
      <c r="C28" s="20" t="s">
        <v>159</v>
      </c>
      <c r="D28" s="20" t="s">
        <v>239</v>
      </c>
      <c r="E28" s="22" t="s">
        <v>240</v>
      </c>
      <c r="F28" s="23">
        <v>70</v>
      </c>
      <c r="G28" s="22"/>
    </row>
    <row r="29" spans="1:7" ht="25.05" customHeight="1">
      <c r="A29" s="20">
        <v>26</v>
      </c>
      <c r="B29" s="21" t="s">
        <v>23</v>
      </c>
      <c r="C29" s="20" t="s">
        <v>159</v>
      </c>
      <c r="D29" s="20" t="s">
        <v>239</v>
      </c>
      <c r="E29" s="22" t="s">
        <v>241</v>
      </c>
      <c r="F29" s="23">
        <v>60</v>
      </c>
      <c r="G29" s="22"/>
    </row>
    <row r="30" spans="1:7" ht="25.05" customHeight="1">
      <c r="A30" s="20">
        <v>27</v>
      </c>
      <c r="B30" s="21" t="s">
        <v>23</v>
      </c>
      <c r="C30" s="20" t="s">
        <v>159</v>
      </c>
      <c r="D30" s="17" t="s">
        <v>219</v>
      </c>
      <c r="E30" s="36" t="s">
        <v>242</v>
      </c>
      <c r="F30" s="37">
        <f>SUM(F28:F29)</f>
        <v>130</v>
      </c>
      <c r="G30" s="36"/>
    </row>
    <row r="31" spans="1:7" ht="25.05" customHeight="1">
      <c r="A31" s="20">
        <v>28</v>
      </c>
      <c r="B31" s="21" t="s">
        <v>23</v>
      </c>
      <c r="C31" s="20" t="s">
        <v>159</v>
      </c>
      <c r="D31" s="20" t="s">
        <v>259</v>
      </c>
      <c r="E31" s="22" t="s">
        <v>317</v>
      </c>
      <c r="F31" s="27">
        <v>10</v>
      </c>
      <c r="G31" s="22"/>
    </row>
    <row r="32" spans="1:7" ht="25.05" customHeight="1">
      <c r="A32" s="20">
        <v>29</v>
      </c>
      <c r="B32" s="21" t="s">
        <v>23</v>
      </c>
      <c r="C32" s="20" t="s">
        <v>159</v>
      </c>
      <c r="D32" s="20" t="s">
        <v>259</v>
      </c>
      <c r="E32" s="22" t="s">
        <v>318</v>
      </c>
      <c r="F32" s="27">
        <v>5</v>
      </c>
      <c r="G32" s="22"/>
    </row>
    <row r="33" spans="1:7" ht="25.05" customHeight="1">
      <c r="A33" s="20">
        <v>30</v>
      </c>
      <c r="B33" s="21" t="s">
        <v>23</v>
      </c>
      <c r="C33" s="20" t="s">
        <v>159</v>
      </c>
      <c r="D33" s="17" t="s">
        <v>219</v>
      </c>
      <c r="E33" s="36" t="s">
        <v>261</v>
      </c>
      <c r="F33" s="37">
        <f>SUM(F31:F32)</f>
        <v>15</v>
      </c>
      <c r="G33" s="36"/>
    </row>
    <row r="34" spans="1:7" ht="25.05" customHeight="1">
      <c r="A34" s="20">
        <v>31</v>
      </c>
      <c r="B34" s="21" t="s">
        <v>23</v>
      </c>
      <c r="C34" s="20" t="s">
        <v>159</v>
      </c>
      <c r="D34" s="20" t="s">
        <v>243</v>
      </c>
      <c r="E34" s="22" t="s">
        <v>319</v>
      </c>
      <c r="F34" s="23">
        <v>6</v>
      </c>
      <c r="G34" s="22"/>
    </row>
    <row r="35" spans="1:7" ht="25.05" customHeight="1">
      <c r="A35" s="20">
        <v>32</v>
      </c>
      <c r="B35" s="21" t="s">
        <v>23</v>
      </c>
      <c r="C35" s="20" t="s">
        <v>159</v>
      </c>
      <c r="D35" s="20" t="s">
        <v>243</v>
      </c>
      <c r="E35" s="22" t="s">
        <v>320</v>
      </c>
      <c r="F35" s="23">
        <v>6</v>
      </c>
      <c r="G35" s="22"/>
    </row>
    <row r="36" spans="1:7" ht="25.05" customHeight="1">
      <c r="A36" s="20">
        <v>33</v>
      </c>
      <c r="B36" s="21" t="s">
        <v>23</v>
      </c>
      <c r="C36" s="20" t="s">
        <v>159</v>
      </c>
      <c r="D36" s="20" t="s">
        <v>243</v>
      </c>
      <c r="E36" s="22" t="s">
        <v>321</v>
      </c>
      <c r="F36" s="23">
        <v>10.56</v>
      </c>
      <c r="G36" s="22"/>
    </row>
    <row r="37" spans="1:7" ht="25.05" customHeight="1">
      <c r="A37" s="20">
        <v>34</v>
      </c>
      <c r="B37" s="21" t="s">
        <v>23</v>
      </c>
      <c r="C37" s="20" t="s">
        <v>159</v>
      </c>
      <c r="D37" s="20" t="s">
        <v>243</v>
      </c>
      <c r="E37" s="22" t="s">
        <v>247</v>
      </c>
      <c r="F37" s="23">
        <v>2</v>
      </c>
      <c r="G37" s="22"/>
    </row>
    <row r="38" spans="1:7" ht="25.05" customHeight="1">
      <c r="A38" s="20">
        <v>35</v>
      </c>
      <c r="B38" s="21" t="s">
        <v>23</v>
      </c>
      <c r="C38" s="20" t="s">
        <v>159</v>
      </c>
      <c r="D38" s="17" t="s">
        <v>219</v>
      </c>
      <c r="E38" s="36" t="s">
        <v>248</v>
      </c>
      <c r="F38" s="37">
        <f>SUM(F34:F37)</f>
        <v>24.56</v>
      </c>
      <c r="G38" s="36"/>
    </row>
    <row r="39" spans="1:7" ht="25.05" customHeight="1">
      <c r="A39" s="20">
        <v>36</v>
      </c>
      <c r="B39" s="21" t="s">
        <v>23</v>
      </c>
      <c r="C39" s="20" t="s">
        <v>159</v>
      </c>
      <c r="D39" s="20" t="s">
        <v>249</v>
      </c>
      <c r="E39" s="22" t="s">
        <v>304</v>
      </c>
      <c r="F39" s="23">
        <v>7</v>
      </c>
      <c r="G39" s="22"/>
    </row>
    <row r="40" spans="1:7" ht="25.05" customHeight="1">
      <c r="A40" s="20">
        <v>37</v>
      </c>
      <c r="B40" s="21" t="s">
        <v>23</v>
      </c>
      <c r="C40" s="20" t="s">
        <v>159</v>
      </c>
      <c r="D40" s="20" t="s">
        <v>249</v>
      </c>
      <c r="E40" s="22" t="s">
        <v>251</v>
      </c>
      <c r="F40" s="23">
        <v>7</v>
      </c>
      <c r="G40" s="22"/>
    </row>
    <row r="41" spans="1:7" s="47" customFormat="1" ht="30" customHeight="1">
      <c r="A41" s="20">
        <v>38</v>
      </c>
      <c r="B41" s="65" t="s">
        <v>23</v>
      </c>
      <c r="C41" s="20" t="s">
        <v>159</v>
      </c>
      <c r="D41" s="38" t="s">
        <v>249</v>
      </c>
      <c r="E41" s="34" t="s">
        <v>865</v>
      </c>
      <c r="F41" s="40">
        <v>0</v>
      </c>
      <c r="G41" s="39" t="s">
        <v>889</v>
      </c>
    </row>
    <row r="42" spans="1:7" s="47" customFormat="1" ht="25.05" customHeight="1">
      <c r="A42" s="20">
        <v>39</v>
      </c>
      <c r="B42" s="65" t="s">
        <v>23</v>
      </c>
      <c r="C42" s="20" t="s">
        <v>159</v>
      </c>
      <c r="D42" s="38" t="s">
        <v>249</v>
      </c>
      <c r="E42" s="34" t="s">
        <v>894</v>
      </c>
      <c r="F42" s="40">
        <v>2</v>
      </c>
      <c r="G42" s="34"/>
    </row>
    <row r="43" spans="1:7" s="47" customFormat="1" ht="25.05" customHeight="1">
      <c r="A43" s="20">
        <v>40</v>
      </c>
      <c r="B43" s="65" t="s">
        <v>23</v>
      </c>
      <c r="C43" s="20" t="s">
        <v>159</v>
      </c>
      <c r="D43" s="38" t="s">
        <v>249</v>
      </c>
      <c r="E43" s="34" t="s">
        <v>600</v>
      </c>
      <c r="F43" s="40">
        <v>0</v>
      </c>
      <c r="G43" s="34"/>
    </row>
    <row r="44" spans="1:7" s="47" customFormat="1" ht="25.05" customHeight="1">
      <c r="A44" s="20">
        <v>41</v>
      </c>
      <c r="B44" s="65" t="s">
        <v>23</v>
      </c>
      <c r="C44" s="20" t="s">
        <v>159</v>
      </c>
      <c r="D44" s="38" t="s">
        <v>249</v>
      </c>
      <c r="E44" s="34" t="s">
        <v>895</v>
      </c>
      <c r="F44" s="40">
        <v>40</v>
      </c>
      <c r="G44" s="34"/>
    </row>
    <row r="45" spans="1:7" s="47" customFormat="1" ht="25.05" customHeight="1">
      <c r="A45" s="20">
        <v>42</v>
      </c>
      <c r="B45" s="65" t="s">
        <v>23</v>
      </c>
      <c r="C45" s="20" t="s">
        <v>159</v>
      </c>
      <c r="D45" s="38" t="s">
        <v>249</v>
      </c>
      <c r="E45" s="34" t="s">
        <v>896</v>
      </c>
      <c r="F45" s="40">
        <v>22.5</v>
      </c>
      <c r="G45" s="34"/>
    </row>
    <row r="46" spans="1:7" ht="25.05" customHeight="1">
      <c r="A46" s="20">
        <v>43</v>
      </c>
      <c r="B46" s="21" t="s">
        <v>23</v>
      </c>
      <c r="C46" s="20" t="s">
        <v>159</v>
      </c>
      <c r="D46" s="20" t="s">
        <v>249</v>
      </c>
      <c r="E46" s="22" t="s">
        <v>253</v>
      </c>
      <c r="F46" s="23">
        <v>7</v>
      </c>
      <c r="G46" s="22"/>
    </row>
    <row r="47" spans="1:7" ht="25.05" customHeight="1">
      <c r="A47" s="20">
        <v>44</v>
      </c>
      <c r="B47" s="21" t="s">
        <v>23</v>
      </c>
      <c r="C47" s="20" t="s">
        <v>159</v>
      </c>
      <c r="D47" s="20" t="s">
        <v>249</v>
      </c>
      <c r="E47" s="22" t="s">
        <v>322</v>
      </c>
      <c r="F47" s="23">
        <v>2</v>
      </c>
      <c r="G47" s="22"/>
    </row>
    <row r="48" spans="1:7" ht="25.05" customHeight="1">
      <c r="A48" s="20">
        <v>45</v>
      </c>
      <c r="B48" s="21" t="s">
        <v>23</v>
      </c>
      <c r="C48" s="20" t="s">
        <v>159</v>
      </c>
      <c r="D48" s="17" t="s">
        <v>219</v>
      </c>
      <c r="E48" s="36" t="s">
        <v>255</v>
      </c>
      <c r="F48" s="37">
        <f>SUM(F39:F47)</f>
        <v>87.5</v>
      </c>
      <c r="G48" s="36"/>
    </row>
    <row r="49" spans="1:7" ht="25.05" customHeight="1">
      <c r="A49" s="20">
        <v>46</v>
      </c>
      <c r="B49" s="21" t="s">
        <v>23</v>
      </c>
      <c r="C49" s="20" t="s">
        <v>159</v>
      </c>
      <c r="D49" s="20" t="s">
        <v>262</v>
      </c>
      <c r="E49" s="22" t="s">
        <v>263</v>
      </c>
      <c r="F49" s="23">
        <v>75</v>
      </c>
      <c r="G49" s="22"/>
    </row>
    <row r="50" spans="1:7" ht="25.05" customHeight="1">
      <c r="A50" s="20">
        <v>47</v>
      </c>
      <c r="B50" s="21" t="s">
        <v>23</v>
      </c>
      <c r="C50" s="20" t="s">
        <v>159</v>
      </c>
      <c r="D50" s="20" t="s">
        <v>262</v>
      </c>
      <c r="E50" s="22" t="s">
        <v>316</v>
      </c>
      <c r="F50" s="23">
        <v>40</v>
      </c>
      <c r="G50" s="22"/>
    </row>
    <row r="51" spans="1:7" ht="25.05" customHeight="1">
      <c r="A51" s="20">
        <v>48</v>
      </c>
      <c r="B51" s="21" t="s">
        <v>23</v>
      </c>
      <c r="C51" s="20" t="s">
        <v>159</v>
      </c>
      <c r="D51" s="20" t="s">
        <v>262</v>
      </c>
      <c r="E51" s="22" t="s">
        <v>265</v>
      </c>
      <c r="F51" s="23">
        <v>20</v>
      </c>
      <c r="G51" s="22"/>
    </row>
    <row r="52" spans="1:7" ht="25.05" customHeight="1">
      <c r="A52" s="20">
        <v>49</v>
      </c>
      <c r="B52" s="21" t="s">
        <v>23</v>
      </c>
      <c r="C52" s="20" t="s">
        <v>159</v>
      </c>
      <c r="D52" s="17" t="s">
        <v>219</v>
      </c>
      <c r="E52" s="36" t="s">
        <v>266</v>
      </c>
      <c r="F52" s="37">
        <f>SUM(F49:F51)</f>
        <v>135</v>
      </c>
      <c r="G52" s="36"/>
    </row>
    <row r="53" spans="1:7" ht="25.05" customHeight="1">
      <c r="A53" s="20">
        <v>50</v>
      </c>
      <c r="B53" s="21" t="s">
        <v>23</v>
      </c>
      <c r="C53" s="20" t="s">
        <v>159</v>
      </c>
      <c r="D53" s="17" t="s">
        <v>267</v>
      </c>
      <c r="E53" s="36" t="s">
        <v>897</v>
      </c>
      <c r="F53" s="37">
        <v>846</v>
      </c>
      <c r="G53" s="36"/>
    </row>
    <row r="54" spans="1:7" ht="25.05" customHeight="1">
      <c r="A54" s="240" t="s">
        <v>898</v>
      </c>
      <c r="B54" s="240"/>
      <c r="C54" s="240"/>
      <c r="D54" s="240"/>
      <c r="E54" s="240"/>
      <c r="F54" s="240"/>
      <c r="G54" s="240"/>
    </row>
  </sheetData>
  <autoFilter ref="A3:G54" xr:uid="{00000000-0009-0000-0000-000032000000}"/>
  <mergeCells count="3">
    <mergeCell ref="A1:G1"/>
    <mergeCell ref="A2:G2"/>
    <mergeCell ref="A54:G54"/>
  </mergeCells>
  <phoneticPr fontId="23" type="noConversion"/>
  <pageMargins left="0.59055118110236204" right="0.23622047244094499" top="0.39370078740157499" bottom="0.43307086614173201" header="0.35433070866141703" footer="0.23622047244094499"/>
  <pageSetup paperSize="9" orientation="portrait" r:id="rId1"/>
  <headerFooter>
    <oddFooter>&amp;C&amp;8第 &amp;P 页，共 &amp;N 页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64"/>
  <sheetViews>
    <sheetView view="pageBreakPreview" topLeftCell="A52" zoomScale="130" zoomScaleNormal="115" workbookViewId="0">
      <selection activeCell="E55" sqref="E55"/>
    </sheetView>
  </sheetViews>
  <sheetFormatPr defaultColWidth="9" defaultRowHeight="15.75"/>
  <cols>
    <col min="1" max="1" width="4.06640625" style="13" customWidth="1"/>
    <col min="2" max="2" width="10" style="14" customWidth="1"/>
    <col min="3" max="3" width="12.796875" style="13" customWidth="1"/>
    <col min="4" max="4" width="10.53125" style="13" customWidth="1"/>
    <col min="5" max="5" width="44.19921875" style="13" customWidth="1"/>
    <col min="6" max="6" width="7.06640625" style="13" customWidth="1"/>
    <col min="7" max="7" width="7.33203125" style="13" customWidth="1"/>
    <col min="8" max="16384" width="9" style="16"/>
  </cols>
  <sheetData>
    <row r="1" spans="1:7" ht="25.05" customHeight="1">
      <c r="A1" s="215" t="s">
        <v>899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900</v>
      </c>
      <c r="B2" s="241"/>
      <c r="C2" s="241"/>
      <c r="D2" s="241"/>
      <c r="E2" s="241"/>
      <c r="F2" s="241"/>
      <c r="G2" s="241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23</v>
      </c>
      <c r="C4" s="20" t="s">
        <v>161</v>
      </c>
      <c r="D4" s="20" t="s">
        <v>209</v>
      </c>
      <c r="E4" s="22" t="s">
        <v>210</v>
      </c>
      <c r="F4" s="22">
        <v>19</v>
      </c>
      <c r="G4" s="22"/>
    </row>
    <row r="5" spans="1:7" ht="25.05" customHeight="1">
      <c r="A5" s="20">
        <v>2</v>
      </c>
      <c r="B5" s="21" t="s">
        <v>23</v>
      </c>
      <c r="C5" s="20" t="s">
        <v>161</v>
      </c>
      <c r="D5" s="20" t="s">
        <v>209</v>
      </c>
      <c r="E5" s="22" t="s">
        <v>211</v>
      </c>
      <c r="F5" s="22">
        <v>15</v>
      </c>
      <c r="G5" s="22"/>
    </row>
    <row r="6" spans="1:7" ht="25.05" customHeight="1">
      <c r="A6" s="20">
        <v>3</v>
      </c>
      <c r="B6" s="21" t="s">
        <v>23</v>
      </c>
      <c r="C6" s="20" t="s">
        <v>161</v>
      </c>
      <c r="D6" s="20" t="s">
        <v>209</v>
      </c>
      <c r="E6" s="22" t="s">
        <v>212</v>
      </c>
      <c r="F6" s="22">
        <v>34</v>
      </c>
      <c r="G6" s="22"/>
    </row>
    <row r="7" spans="1:7" ht="25.05" customHeight="1">
      <c r="A7" s="20">
        <v>4</v>
      </c>
      <c r="B7" s="21" t="s">
        <v>23</v>
      </c>
      <c r="C7" s="20" t="s">
        <v>161</v>
      </c>
      <c r="D7" s="20" t="s">
        <v>209</v>
      </c>
      <c r="E7" s="22" t="s">
        <v>272</v>
      </c>
      <c r="F7" s="22">
        <v>34</v>
      </c>
      <c r="G7" s="22"/>
    </row>
    <row r="8" spans="1:7" ht="25.05" customHeight="1">
      <c r="A8" s="20">
        <v>5</v>
      </c>
      <c r="B8" s="21" t="s">
        <v>23</v>
      </c>
      <c r="C8" s="20" t="s">
        <v>161</v>
      </c>
      <c r="D8" s="20" t="s">
        <v>209</v>
      </c>
      <c r="E8" s="22" t="s">
        <v>214</v>
      </c>
      <c r="F8" s="22">
        <v>26</v>
      </c>
      <c r="G8" s="22"/>
    </row>
    <row r="9" spans="1:7" ht="25.05" customHeight="1">
      <c r="A9" s="20">
        <v>6</v>
      </c>
      <c r="B9" s="21" t="s">
        <v>23</v>
      </c>
      <c r="C9" s="20" t="s">
        <v>161</v>
      </c>
      <c r="D9" s="20" t="s">
        <v>209</v>
      </c>
      <c r="E9" s="22" t="s">
        <v>312</v>
      </c>
      <c r="F9" s="22">
        <v>10</v>
      </c>
      <c r="G9" s="22"/>
    </row>
    <row r="10" spans="1:7" ht="25.05" customHeight="1">
      <c r="A10" s="20">
        <v>7</v>
      </c>
      <c r="B10" s="21" t="s">
        <v>23</v>
      </c>
      <c r="C10" s="20" t="s">
        <v>161</v>
      </c>
      <c r="D10" s="20" t="s">
        <v>209</v>
      </c>
      <c r="E10" s="22" t="s">
        <v>216</v>
      </c>
      <c r="F10" s="22">
        <v>40</v>
      </c>
      <c r="G10" s="22"/>
    </row>
    <row r="11" spans="1:7" ht="25.05" customHeight="1">
      <c r="A11" s="20">
        <v>8</v>
      </c>
      <c r="B11" s="21" t="s">
        <v>23</v>
      </c>
      <c r="C11" s="20" t="s">
        <v>161</v>
      </c>
      <c r="D11" s="20" t="s">
        <v>209</v>
      </c>
      <c r="E11" s="22" t="s">
        <v>292</v>
      </c>
      <c r="F11" s="22">
        <v>18</v>
      </c>
      <c r="G11" s="22"/>
    </row>
    <row r="12" spans="1:7" ht="25.05" customHeight="1">
      <c r="A12" s="20">
        <v>9</v>
      </c>
      <c r="B12" s="21" t="s">
        <v>23</v>
      </c>
      <c r="C12" s="20" t="s">
        <v>161</v>
      </c>
      <c r="D12" s="20" t="s">
        <v>209</v>
      </c>
      <c r="E12" s="22" t="s">
        <v>217</v>
      </c>
      <c r="F12" s="22">
        <v>55</v>
      </c>
      <c r="G12" s="22"/>
    </row>
    <row r="13" spans="1:7" ht="25.05" customHeight="1">
      <c r="A13" s="20">
        <v>10</v>
      </c>
      <c r="B13" s="21" t="s">
        <v>23</v>
      </c>
      <c r="C13" s="20" t="s">
        <v>161</v>
      </c>
      <c r="D13" s="20" t="s">
        <v>209</v>
      </c>
      <c r="E13" s="22" t="s">
        <v>400</v>
      </c>
      <c r="F13" s="22">
        <v>10</v>
      </c>
      <c r="G13" s="22"/>
    </row>
    <row r="14" spans="1:7" ht="25.05" customHeight="1">
      <c r="A14" s="20">
        <v>11</v>
      </c>
      <c r="B14" s="21" t="s">
        <v>23</v>
      </c>
      <c r="C14" s="20" t="s">
        <v>161</v>
      </c>
      <c r="D14" s="17" t="s">
        <v>219</v>
      </c>
      <c r="E14" s="36" t="s">
        <v>220</v>
      </c>
      <c r="F14" s="36">
        <f>SUM(F4:F13)</f>
        <v>261</v>
      </c>
      <c r="G14" s="36"/>
    </row>
    <row r="15" spans="1:7" ht="25.05" customHeight="1">
      <c r="A15" s="20">
        <v>12</v>
      </c>
      <c r="B15" s="21" t="s">
        <v>23</v>
      </c>
      <c r="C15" s="20" t="s">
        <v>161</v>
      </c>
      <c r="D15" s="20" t="s">
        <v>401</v>
      </c>
      <c r="E15" s="22" t="s">
        <v>402</v>
      </c>
      <c r="F15" s="22">
        <v>34</v>
      </c>
      <c r="G15" s="22"/>
    </row>
    <row r="16" spans="1:7" ht="25.05" customHeight="1">
      <c r="A16" s="20">
        <v>13</v>
      </c>
      <c r="B16" s="21" t="s">
        <v>23</v>
      </c>
      <c r="C16" s="20" t="s">
        <v>161</v>
      </c>
      <c r="D16" s="20" t="s">
        <v>401</v>
      </c>
      <c r="E16" s="22" t="s">
        <v>403</v>
      </c>
      <c r="F16" s="22">
        <v>34</v>
      </c>
      <c r="G16" s="22"/>
    </row>
    <row r="17" spans="1:7" ht="25.05" customHeight="1">
      <c r="A17" s="20">
        <v>14</v>
      </c>
      <c r="B17" s="21" t="s">
        <v>23</v>
      </c>
      <c r="C17" s="20" t="s">
        <v>161</v>
      </c>
      <c r="D17" s="20" t="s">
        <v>401</v>
      </c>
      <c r="E17" s="22" t="s">
        <v>404</v>
      </c>
      <c r="F17" s="22">
        <v>140</v>
      </c>
      <c r="G17" s="22"/>
    </row>
    <row r="18" spans="1:7" ht="25.05" customHeight="1">
      <c r="A18" s="20">
        <v>15</v>
      </c>
      <c r="B18" s="21" t="s">
        <v>23</v>
      </c>
      <c r="C18" s="20" t="s">
        <v>161</v>
      </c>
      <c r="D18" s="20" t="s">
        <v>401</v>
      </c>
      <c r="E18" s="22" t="s">
        <v>405</v>
      </c>
      <c r="F18" s="22">
        <v>60</v>
      </c>
      <c r="G18" s="22"/>
    </row>
    <row r="19" spans="1:7" ht="25.05" customHeight="1">
      <c r="A19" s="20">
        <v>16</v>
      </c>
      <c r="B19" s="21" t="s">
        <v>23</v>
      </c>
      <c r="C19" s="20" t="s">
        <v>161</v>
      </c>
      <c r="D19" s="20" t="s">
        <v>401</v>
      </c>
      <c r="E19" s="22" t="s">
        <v>406</v>
      </c>
      <c r="F19" s="22">
        <v>20</v>
      </c>
      <c r="G19" s="22"/>
    </row>
    <row r="20" spans="1:7" ht="25.05" customHeight="1">
      <c r="A20" s="20">
        <v>17</v>
      </c>
      <c r="B20" s="21" t="s">
        <v>23</v>
      </c>
      <c r="C20" s="20" t="s">
        <v>161</v>
      </c>
      <c r="D20" s="20" t="s">
        <v>401</v>
      </c>
      <c r="E20" s="22" t="s">
        <v>407</v>
      </c>
      <c r="F20" s="22">
        <v>200</v>
      </c>
      <c r="G20" s="22"/>
    </row>
    <row r="21" spans="1:7" ht="25.05" customHeight="1">
      <c r="A21" s="20">
        <v>18</v>
      </c>
      <c r="B21" s="21" t="s">
        <v>23</v>
      </c>
      <c r="C21" s="20" t="s">
        <v>161</v>
      </c>
      <c r="D21" s="20" t="s">
        <v>401</v>
      </c>
      <c r="E21" s="22" t="s">
        <v>408</v>
      </c>
      <c r="F21" s="22">
        <v>16</v>
      </c>
      <c r="G21" s="22"/>
    </row>
    <row r="22" spans="1:7" ht="25.05" customHeight="1">
      <c r="A22" s="20">
        <v>19</v>
      </c>
      <c r="B22" s="21" t="s">
        <v>23</v>
      </c>
      <c r="C22" s="20" t="s">
        <v>161</v>
      </c>
      <c r="D22" s="17" t="s">
        <v>219</v>
      </c>
      <c r="E22" s="36" t="s">
        <v>409</v>
      </c>
      <c r="F22" s="36">
        <f>SUM(F15:F21)</f>
        <v>504</v>
      </c>
      <c r="G22" s="36"/>
    </row>
    <row r="23" spans="1:7" ht="25.05" customHeight="1">
      <c r="A23" s="20">
        <v>20</v>
      </c>
      <c r="B23" s="21" t="s">
        <v>23</v>
      </c>
      <c r="C23" s="20" t="s">
        <v>161</v>
      </c>
      <c r="D23" s="20" t="s">
        <v>221</v>
      </c>
      <c r="E23" s="22" t="s">
        <v>222</v>
      </c>
      <c r="F23" s="22">
        <v>14</v>
      </c>
      <c r="G23" s="22"/>
    </row>
    <row r="24" spans="1:7" ht="25.05" customHeight="1">
      <c r="A24" s="20">
        <v>21</v>
      </c>
      <c r="B24" s="21" t="s">
        <v>23</v>
      </c>
      <c r="C24" s="20" t="s">
        <v>161</v>
      </c>
      <c r="D24" s="20" t="s">
        <v>221</v>
      </c>
      <c r="E24" s="22" t="s">
        <v>223</v>
      </c>
      <c r="F24" s="22">
        <v>22</v>
      </c>
      <c r="G24" s="22"/>
    </row>
    <row r="25" spans="1:7" ht="25.05" customHeight="1">
      <c r="A25" s="20">
        <v>22</v>
      </c>
      <c r="B25" s="21" t="s">
        <v>23</v>
      </c>
      <c r="C25" s="20" t="s">
        <v>161</v>
      </c>
      <c r="D25" s="20" t="s">
        <v>221</v>
      </c>
      <c r="E25" s="22" t="s">
        <v>224</v>
      </c>
      <c r="F25" s="22">
        <v>9</v>
      </c>
      <c r="G25" s="22"/>
    </row>
    <row r="26" spans="1:7" ht="25.05" customHeight="1">
      <c r="A26" s="20">
        <v>23</v>
      </c>
      <c r="B26" s="21" t="s">
        <v>23</v>
      </c>
      <c r="C26" s="20" t="s">
        <v>161</v>
      </c>
      <c r="D26" s="20" t="s">
        <v>221</v>
      </c>
      <c r="E26" s="22" t="s">
        <v>225</v>
      </c>
      <c r="F26" s="22">
        <v>20</v>
      </c>
      <c r="G26" s="22"/>
    </row>
    <row r="27" spans="1:7" ht="25.05" customHeight="1">
      <c r="A27" s="20">
        <v>24</v>
      </c>
      <c r="B27" s="21" t="s">
        <v>23</v>
      </c>
      <c r="C27" s="20" t="s">
        <v>161</v>
      </c>
      <c r="D27" s="20" t="s">
        <v>221</v>
      </c>
      <c r="E27" s="22" t="s">
        <v>226</v>
      </c>
      <c r="F27" s="22">
        <v>22</v>
      </c>
      <c r="G27" s="22"/>
    </row>
    <row r="28" spans="1:7" ht="25.05" customHeight="1">
      <c r="A28" s="20">
        <v>25</v>
      </c>
      <c r="B28" s="21" t="s">
        <v>23</v>
      </c>
      <c r="C28" s="20" t="s">
        <v>161</v>
      </c>
      <c r="D28" s="20" t="s">
        <v>221</v>
      </c>
      <c r="E28" s="22" t="s">
        <v>391</v>
      </c>
      <c r="F28" s="22">
        <v>20</v>
      </c>
      <c r="G28" s="22"/>
    </row>
    <row r="29" spans="1:7" ht="25.05" customHeight="1">
      <c r="A29" s="20">
        <v>26</v>
      </c>
      <c r="B29" s="21" t="s">
        <v>23</v>
      </c>
      <c r="C29" s="20" t="s">
        <v>161</v>
      </c>
      <c r="D29" s="17" t="s">
        <v>219</v>
      </c>
      <c r="E29" s="36" t="s">
        <v>228</v>
      </c>
      <c r="F29" s="35">
        <f>SUM(F23:F28)</f>
        <v>107</v>
      </c>
      <c r="G29" s="36"/>
    </row>
    <row r="30" spans="1:7" ht="25.05" customHeight="1">
      <c r="A30" s="20">
        <v>27</v>
      </c>
      <c r="B30" s="21" t="s">
        <v>23</v>
      </c>
      <c r="C30" s="20" t="s">
        <v>161</v>
      </c>
      <c r="D30" s="20" t="s">
        <v>229</v>
      </c>
      <c r="E30" s="22" t="s">
        <v>230</v>
      </c>
      <c r="F30" s="22">
        <v>14</v>
      </c>
      <c r="G30" s="22"/>
    </row>
    <row r="31" spans="1:7" ht="25.05" customHeight="1">
      <c r="A31" s="20">
        <v>28</v>
      </c>
      <c r="B31" s="21" t="s">
        <v>23</v>
      </c>
      <c r="C31" s="20" t="s">
        <v>161</v>
      </c>
      <c r="D31" s="20" t="s">
        <v>229</v>
      </c>
      <c r="E31" s="22" t="s">
        <v>231</v>
      </c>
      <c r="F31" s="22">
        <v>45</v>
      </c>
      <c r="G31" s="22"/>
    </row>
    <row r="32" spans="1:7" ht="25.05" customHeight="1">
      <c r="A32" s="20">
        <v>29</v>
      </c>
      <c r="B32" s="21" t="s">
        <v>23</v>
      </c>
      <c r="C32" s="20" t="s">
        <v>161</v>
      </c>
      <c r="D32" s="20" t="s">
        <v>229</v>
      </c>
      <c r="E32" s="22" t="s">
        <v>412</v>
      </c>
      <c r="F32" s="22">
        <v>40</v>
      </c>
      <c r="G32" s="22"/>
    </row>
    <row r="33" spans="1:7" ht="25.05" customHeight="1">
      <c r="A33" s="20">
        <v>30</v>
      </c>
      <c r="B33" s="21" t="s">
        <v>23</v>
      </c>
      <c r="C33" s="20" t="s">
        <v>161</v>
      </c>
      <c r="D33" s="20" t="s">
        <v>229</v>
      </c>
      <c r="E33" s="22" t="s">
        <v>413</v>
      </c>
      <c r="F33" s="22">
        <v>25</v>
      </c>
      <c r="G33" s="22"/>
    </row>
    <row r="34" spans="1:7" ht="25.05" customHeight="1">
      <c r="A34" s="20">
        <v>31</v>
      </c>
      <c r="B34" s="21" t="s">
        <v>23</v>
      </c>
      <c r="C34" s="20" t="s">
        <v>161</v>
      </c>
      <c r="D34" s="20" t="s">
        <v>229</v>
      </c>
      <c r="E34" s="22" t="s">
        <v>414</v>
      </c>
      <c r="F34" s="22">
        <v>30</v>
      </c>
      <c r="G34" s="22"/>
    </row>
    <row r="35" spans="1:7" ht="25.05" customHeight="1">
      <c r="A35" s="20">
        <v>32</v>
      </c>
      <c r="B35" s="21" t="s">
        <v>23</v>
      </c>
      <c r="C35" s="20" t="s">
        <v>161</v>
      </c>
      <c r="D35" s="20" t="s">
        <v>229</v>
      </c>
      <c r="E35" s="22" t="s">
        <v>415</v>
      </c>
      <c r="F35" s="22">
        <v>120</v>
      </c>
      <c r="G35" s="22"/>
    </row>
    <row r="36" spans="1:7" ht="25.05" customHeight="1">
      <c r="A36" s="20">
        <v>33</v>
      </c>
      <c r="B36" s="21" t="s">
        <v>23</v>
      </c>
      <c r="C36" s="20" t="s">
        <v>161</v>
      </c>
      <c r="D36" s="20" t="s">
        <v>229</v>
      </c>
      <c r="E36" s="22" t="s">
        <v>416</v>
      </c>
      <c r="F36" s="22">
        <v>8</v>
      </c>
      <c r="G36" s="22"/>
    </row>
    <row r="37" spans="1:7" ht="25.05" customHeight="1">
      <c r="A37" s="20">
        <v>34</v>
      </c>
      <c r="B37" s="21" t="s">
        <v>23</v>
      </c>
      <c r="C37" s="20" t="s">
        <v>161</v>
      </c>
      <c r="D37" s="20" t="s">
        <v>229</v>
      </c>
      <c r="E37" s="22" t="s">
        <v>417</v>
      </c>
      <c r="F37" s="22">
        <v>10</v>
      </c>
      <c r="G37" s="22"/>
    </row>
    <row r="38" spans="1:7" ht="25.05" customHeight="1">
      <c r="A38" s="20">
        <v>35</v>
      </c>
      <c r="B38" s="21" t="s">
        <v>23</v>
      </c>
      <c r="C38" s="20" t="s">
        <v>161</v>
      </c>
      <c r="D38" s="20" t="s">
        <v>229</v>
      </c>
      <c r="E38" s="22" t="s">
        <v>431</v>
      </c>
      <c r="F38" s="22">
        <v>12</v>
      </c>
      <c r="G38" s="22"/>
    </row>
    <row r="39" spans="1:7" ht="25.05" customHeight="1">
      <c r="A39" s="20">
        <v>36</v>
      </c>
      <c r="B39" s="21" t="s">
        <v>23</v>
      </c>
      <c r="C39" s="20" t="s">
        <v>161</v>
      </c>
      <c r="D39" s="17" t="s">
        <v>219</v>
      </c>
      <c r="E39" s="36" t="s">
        <v>238</v>
      </c>
      <c r="F39" s="35">
        <f>SUM(F30:F38)</f>
        <v>304</v>
      </c>
      <c r="G39" s="36"/>
    </row>
    <row r="40" spans="1:7" ht="25.05" customHeight="1">
      <c r="A40" s="20">
        <v>37</v>
      </c>
      <c r="B40" s="21" t="s">
        <v>23</v>
      </c>
      <c r="C40" s="20" t="s">
        <v>161</v>
      </c>
      <c r="D40" s="20" t="s">
        <v>239</v>
      </c>
      <c r="E40" s="22" t="s">
        <v>240</v>
      </c>
      <c r="F40" s="22">
        <v>70</v>
      </c>
      <c r="G40" s="22"/>
    </row>
    <row r="41" spans="1:7" ht="25.05" customHeight="1">
      <c r="A41" s="20">
        <v>38</v>
      </c>
      <c r="B41" s="21" t="s">
        <v>23</v>
      </c>
      <c r="C41" s="20" t="s">
        <v>161</v>
      </c>
      <c r="D41" s="20" t="s">
        <v>239</v>
      </c>
      <c r="E41" s="22" t="s">
        <v>241</v>
      </c>
      <c r="F41" s="22">
        <v>60</v>
      </c>
      <c r="G41" s="22"/>
    </row>
    <row r="42" spans="1:7" ht="25.05" customHeight="1">
      <c r="A42" s="20">
        <v>39</v>
      </c>
      <c r="B42" s="21" t="s">
        <v>23</v>
      </c>
      <c r="C42" s="20" t="s">
        <v>161</v>
      </c>
      <c r="D42" s="17" t="s">
        <v>219</v>
      </c>
      <c r="E42" s="36" t="s">
        <v>242</v>
      </c>
      <c r="F42" s="36">
        <f>SUM(F40:F41)</f>
        <v>130</v>
      </c>
      <c r="G42" s="36"/>
    </row>
    <row r="43" spans="1:7" ht="25.05" customHeight="1">
      <c r="A43" s="20">
        <v>40</v>
      </c>
      <c r="B43" s="21" t="s">
        <v>23</v>
      </c>
      <c r="C43" s="20" t="s">
        <v>161</v>
      </c>
      <c r="D43" s="20" t="s">
        <v>259</v>
      </c>
      <c r="E43" s="28" t="s">
        <v>432</v>
      </c>
      <c r="F43" s="22">
        <v>45</v>
      </c>
      <c r="G43" s="22"/>
    </row>
    <row r="44" spans="1:7" ht="25.05" customHeight="1">
      <c r="A44" s="20">
        <v>41</v>
      </c>
      <c r="B44" s="21" t="s">
        <v>23</v>
      </c>
      <c r="C44" s="20" t="s">
        <v>161</v>
      </c>
      <c r="D44" s="17" t="s">
        <v>219</v>
      </c>
      <c r="E44" s="36" t="s">
        <v>261</v>
      </c>
      <c r="F44" s="36">
        <f>SUM(F43:F43)</f>
        <v>45</v>
      </c>
      <c r="G44" s="36"/>
    </row>
    <row r="45" spans="1:7" ht="25.05" customHeight="1">
      <c r="A45" s="20">
        <v>42</v>
      </c>
      <c r="B45" s="21" t="s">
        <v>23</v>
      </c>
      <c r="C45" s="20" t="s">
        <v>161</v>
      </c>
      <c r="D45" s="20" t="s">
        <v>243</v>
      </c>
      <c r="E45" s="22" t="s">
        <v>433</v>
      </c>
      <c r="F45" s="22">
        <v>7.8</v>
      </c>
      <c r="G45" s="22"/>
    </row>
    <row r="46" spans="1:7" ht="25.05" customHeight="1">
      <c r="A46" s="20">
        <v>43</v>
      </c>
      <c r="B46" s="21" t="s">
        <v>23</v>
      </c>
      <c r="C46" s="20" t="s">
        <v>161</v>
      </c>
      <c r="D46" s="20" t="s">
        <v>243</v>
      </c>
      <c r="E46" s="22" t="s">
        <v>434</v>
      </c>
      <c r="F46" s="22">
        <v>7.8</v>
      </c>
      <c r="G46" s="22"/>
    </row>
    <row r="47" spans="1:7" ht="25.05" customHeight="1">
      <c r="A47" s="20">
        <v>44</v>
      </c>
      <c r="B47" s="21" t="s">
        <v>23</v>
      </c>
      <c r="C47" s="20" t="s">
        <v>161</v>
      </c>
      <c r="D47" s="20" t="s">
        <v>243</v>
      </c>
      <c r="E47" s="22" t="s">
        <v>435</v>
      </c>
      <c r="F47" s="22">
        <v>14.5</v>
      </c>
      <c r="G47" s="22"/>
    </row>
    <row r="48" spans="1:7" ht="25.05" customHeight="1">
      <c r="A48" s="20">
        <v>45</v>
      </c>
      <c r="B48" s="21" t="s">
        <v>23</v>
      </c>
      <c r="C48" s="20" t="s">
        <v>161</v>
      </c>
      <c r="D48" s="20" t="s">
        <v>243</v>
      </c>
      <c r="E48" s="22" t="s">
        <v>423</v>
      </c>
      <c r="F48" s="22">
        <v>2</v>
      </c>
      <c r="G48" s="22"/>
    </row>
    <row r="49" spans="1:7" ht="25.05" customHeight="1">
      <c r="A49" s="20">
        <v>46</v>
      </c>
      <c r="B49" s="21" t="s">
        <v>23</v>
      </c>
      <c r="C49" s="20" t="s">
        <v>161</v>
      </c>
      <c r="D49" s="17" t="s">
        <v>219</v>
      </c>
      <c r="E49" s="36" t="s">
        <v>248</v>
      </c>
      <c r="F49" s="36">
        <f>SUM(F45:F48)</f>
        <v>32.1</v>
      </c>
      <c r="G49" s="36"/>
    </row>
    <row r="50" spans="1:7" ht="25.05" customHeight="1">
      <c r="A50" s="20">
        <v>47</v>
      </c>
      <c r="B50" s="21" t="s">
        <v>23</v>
      </c>
      <c r="C50" s="20" t="s">
        <v>161</v>
      </c>
      <c r="D50" s="20" t="s">
        <v>249</v>
      </c>
      <c r="E50" s="22" t="s">
        <v>304</v>
      </c>
      <c r="F50" s="22">
        <v>7</v>
      </c>
      <c r="G50" s="22"/>
    </row>
    <row r="51" spans="1:7" ht="25.05" customHeight="1">
      <c r="A51" s="20">
        <v>48</v>
      </c>
      <c r="B51" s="21" t="s">
        <v>23</v>
      </c>
      <c r="C51" s="20" t="s">
        <v>161</v>
      </c>
      <c r="D51" s="20" t="s">
        <v>249</v>
      </c>
      <c r="E51" s="22" t="s">
        <v>251</v>
      </c>
      <c r="F51" s="22">
        <v>7</v>
      </c>
      <c r="G51" s="22"/>
    </row>
    <row r="52" spans="1:7" s="47" customFormat="1" ht="25.05" customHeight="1">
      <c r="A52" s="20">
        <v>49</v>
      </c>
      <c r="B52" s="65" t="s">
        <v>23</v>
      </c>
      <c r="C52" s="20" t="s">
        <v>161</v>
      </c>
      <c r="D52" s="38" t="s">
        <v>249</v>
      </c>
      <c r="E52" s="34" t="s">
        <v>865</v>
      </c>
      <c r="F52" s="40">
        <v>0</v>
      </c>
      <c r="G52" s="34" t="s">
        <v>889</v>
      </c>
    </row>
    <row r="53" spans="1:7" s="47" customFormat="1" ht="25.05" customHeight="1">
      <c r="A53" s="20">
        <v>50</v>
      </c>
      <c r="B53" s="65" t="s">
        <v>23</v>
      </c>
      <c r="C53" s="20" t="s">
        <v>161</v>
      </c>
      <c r="D53" s="38" t="s">
        <v>249</v>
      </c>
      <c r="E53" s="34" t="s">
        <v>599</v>
      </c>
      <c r="F53" s="40">
        <v>2</v>
      </c>
      <c r="G53" s="34"/>
    </row>
    <row r="54" spans="1:7" s="47" customFormat="1" ht="25.05" customHeight="1">
      <c r="A54" s="20">
        <v>51</v>
      </c>
      <c r="B54" s="65" t="s">
        <v>23</v>
      </c>
      <c r="C54" s="20" t="s">
        <v>161</v>
      </c>
      <c r="D54" s="38" t="s">
        <v>249</v>
      </c>
      <c r="E54" s="34" t="s">
        <v>600</v>
      </c>
      <c r="F54" s="40">
        <v>0</v>
      </c>
      <c r="G54" s="34"/>
    </row>
    <row r="55" spans="1:7" s="47" customFormat="1" ht="25.05" customHeight="1">
      <c r="A55" s="20">
        <v>52</v>
      </c>
      <c r="B55" s="65" t="s">
        <v>23</v>
      </c>
      <c r="C55" s="20" t="s">
        <v>161</v>
      </c>
      <c r="D55" s="38" t="s">
        <v>249</v>
      </c>
      <c r="E55" s="34" t="s">
        <v>895</v>
      </c>
      <c r="F55" s="40">
        <v>40</v>
      </c>
      <c r="G55" s="34"/>
    </row>
    <row r="56" spans="1:7" s="47" customFormat="1" ht="25.05" customHeight="1">
      <c r="A56" s="20">
        <v>53</v>
      </c>
      <c r="B56" s="65" t="s">
        <v>23</v>
      </c>
      <c r="C56" s="20" t="s">
        <v>161</v>
      </c>
      <c r="D56" s="38" t="s">
        <v>249</v>
      </c>
      <c r="E56" s="34" t="s">
        <v>896</v>
      </c>
      <c r="F56" s="34">
        <v>22.5</v>
      </c>
      <c r="G56" s="34"/>
    </row>
    <row r="57" spans="1:7" ht="25.05" customHeight="1">
      <c r="A57" s="20">
        <v>54</v>
      </c>
      <c r="B57" s="21" t="s">
        <v>23</v>
      </c>
      <c r="C57" s="20" t="s">
        <v>161</v>
      </c>
      <c r="D57" s="20" t="s">
        <v>249</v>
      </c>
      <c r="E57" s="22" t="s">
        <v>253</v>
      </c>
      <c r="F57" s="22">
        <v>7</v>
      </c>
      <c r="G57" s="22"/>
    </row>
    <row r="58" spans="1:7" ht="25.05" customHeight="1">
      <c r="A58" s="20">
        <v>55</v>
      </c>
      <c r="B58" s="21" t="s">
        <v>23</v>
      </c>
      <c r="C58" s="20" t="s">
        <v>161</v>
      </c>
      <c r="D58" s="17" t="s">
        <v>219</v>
      </c>
      <c r="E58" s="36" t="s">
        <v>255</v>
      </c>
      <c r="F58" s="36">
        <f>SUM(F50:F55:F56:F57)</f>
        <v>85.5</v>
      </c>
      <c r="G58" s="36"/>
    </row>
    <row r="59" spans="1:7" ht="25.05" customHeight="1">
      <c r="A59" s="20">
        <v>56</v>
      </c>
      <c r="B59" s="21" t="s">
        <v>23</v>
      </c>
      <c r="C59" s="20" t="s">
        <v>161</v>
      </c>
      <c r="D59" s="20" t="s">
        <v>262</v>
      </c>
      <c r="E59" s="22" t="s">
        <v>425</v>
      </c>
      <c r="F59" s="22">
        <v>255</v>
      </c>
      <c r="G59" s="22"/>
    </row>
    <row r="60" spans="1:7" ht="25.05" customHeight="1">
      <c r="A60" s="20">
        <v>57</v>
      </c>
      <c r="B60" s="21" t="s">
        <v>23</v>
      </c>
      <c r="C60" s="20" t="s">
        <v>161</v>
      </c>
      <c r="D60" s="20" t="s">
        <v>262</v>
      </c>
      <c r="E60" s="22" t="s">
        <v>264</v>
      </c>
      <c r="F60" s="22">
        <v>40</v>
      </c>
      <c r="G60" s="22"/>
    </row>
    <row r="61" spans="1:7" ht="25.05" customHeight="1">
      <c r="A61" s="20">
        <v>58</v>
      </c>
      <c r="B61" s="21" t="s">
        <v>23</v>
      </c>
      <c r="C61" s="20" t="s">
        <v>161</v>
      </c>
      <c r="D61" s="20" t="s">
        <v>262</v>
      </c>
      <c r="E61" s="22" t="s">
        <v>265</v>
      </c>
      <c r="F61" s="22">
        <v>40</v>
      </c>
      <c r="G61" s="22"/>
    </row>
    <row r="62" spans="1:7" ht="25.05" customHeight="1">
      <c r="A62" s="20">
        <v>59</v>
      </c>
      <c r="B62" s="21" t="s">
        <v>23</v>
      </c>
      <c r="C62" s="20" t="s">
        <v>161</v>
      </c>
      <c r="D62" s="17" t="s">
        <v>219</v>
      </c>
      <c r="E62" s="36" t="s">
        <v>266</v>
      </c>
      <c r="F62" s="36">
        <f>SUM(F59:F61)</f>
        <v>335</v>
      </c>
      <c r="G62" s="36"/>
    </row>
    <row r="63" spans="1:7" ht="25.05" customHeight="1">
      <c r="A63" s="20">
        <v>60</v>
      </c>
      <c r="B63" s="21" t="s">
        <v>23</v>
      </c>
      <c r="C63" s="20" t="s">
        <v>161</v>
      </c>
      <c r="D63" s="17" t="s">
        <v>267</v>
      </c>
      <c r="E63" s="36" t="s">
        <v>901</v>
      </c>
      <c r="F63" s="36">
        <v>1804</v>
      </c>
      <c r="G63" s="36"/>
    </row>
    <row r="64" spans="1:7" ht="25.05" customHeight="1">
      <c r="A64" s="240" t="s">
        <v>902</v>
      </c>
      <c r="B64" s="240"/>
      <c r="C64" s="240"/>
      <c r="D64" s="240"/>
      <c r="E64" s="240"/>
      <c r="F64" s="240"/>
      <c r="G64" s="240"/>
    </row>
  </sheetData>
  <autoFilter ref="A3:G64" xr:uid="{00000000-0009-0000-0000-000033000000}"/>
  <mergeCells count="3">
    <mergeCell ref="A1:G1"/>
    <mergeCell ref="A2:G2"/>
    <mergeCell ref="A64:G64"/>
  </mergeCells>
  <phoneticPr fontId="23" type="noConversion"/>
  <pageMargins left="0.59055118110236204" right="0.2" top="0.35433070866141703" bottom="0.43307086614173201" header="0.35433070866141703" footer="0.196850393700787"/>
  <pageSetup paperSize="9" orientation="portrait" r:id="rId1"/>
  <headerFooter>
    <oddFooter>&amp;C&amp;8第 &amp;P 页，共 &amp;N 页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69"/>
  <sheetViews>
    <sheetView view="pageBreakPreview" zoomScale="115" zoomScaleNormal="160" workbookViewId="0">
      <selection activeCell="F54" sqref="F54"/>
    </sheetView>
  </sheetViews>
  <sheetFormatPr defaultColWidth="9" defaultRowHeight="15.75"/>
  <cols>
    <col min="1" max="1" width="4.06640625" style="13" customWidth="1"/>
    <col min="2" max="2" width="11.33203125" style="14" customWidth="1"/>
    <col min="3" max="3" width="12.9296875" style="13" customWidth="1"/>
    <col min="4" max="4" width="11.33203125" style="13" customWidth="1"/>
    <col min="5" max="5" width="41.46484375" style="13" customWidth="1"/>
    <col min="6" max="6" width="7.06640625" style="13" customWidth="1"/>
    <col min="7" max="7" width="7.33203125" style="86" customWidth="1"/>
    <col min="8" max="16384" width="9" style="16"/>
  </cols>
  <sheetData>
    <row r="1" spans="1:7" ht="25.05" customHeight="1">
      <c r="A1" s="215" t="s">
        <v>903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904</v>
      </c>
      <c r="B2" s="241"/>
      <c r="C2" s="241"/>
      <c r="D2" s="241"/>
      <c r="E2" s="241"/>
      <c r="F2" s="241"/>
      <c r="G2" s="241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163</v>
      </c>
      <c r="D4" s="20" t="s">
        <v>209</v>
      </c>
      <c r="E4" s="22" t="s">
        <v>210</v>
      </c>
      <c r="F4" s="22">
        <v>19</v>
      </c>
      <c r="G4" s="69"/>
    </row>
    <row r="5" spans="1:7" ht="25.05" customHeight="1">
      <c r="A5" s="20">
        <v>2</v>
      </c>
      <c r="B5" s="21" t="s">
        <v>32</v>
      </c>
      <c r="C5" s="20" t="s">
        <v>163</v>
      </c>
      <c r="D5" s="20" t="s">
        <v>209</v>
      </c>
      <c r="E5" s="22" t="s">
        <v>211</v>
      </c>
      <c r="F5" s="22">
        <v>15</v>
      </c>
      <c r="G5" s="69"/>
    </row>
    <row r="6" spans="1:7" ht="25.05" customHeight="1">
      <c r="A6" s="20">
        <v>3</v>
      </c>
      <c r="B6" s="21" t="s">
        <v>32</v>
      </c>
      <c r="C6" s="20" t="s">
        <v>163</v>
      </c>
      <c r="D6" s="20" t="s">
        <v>209</v>
      </c>
      <c r="E6" s="22" t="s">
        <v>212</v>
      </c>
      <c r="F6" s="22">
        <v>34</v>
      </c>
      <c r="G6" s="69"/>
    </row>
    <row r="7" spans="1:7" ht="25.05" customHeight="1">
      <c r="A7" s="20">
        <v>4</v>
      </c>
      <c r="B7" s="21" t="s">
        <v>32</v>
      </c>
      <c r="C7" s="20" t="s">
        <v>163</v>
      </c>
      <c r="D7" s="20" t="s">
        <v>209</v>
      </c>
      <c r="E7" s="22" t="s">
        <v>272</v>
      </c>
      <c r="F7" s="22">
        <v>34</v>
      </c>
      <c r="G7" s="69"/>
    </row>
    <row r="8" spans="1:7" ht="25.05" customHeight="1">
      <c r="A8" s="20">
        <v>5</v>
      </c>
      <c r="B8" s="21" t="s">
        <v>32</v>
      </c>
      <c r="C8" s="20" t="s">
        <v>163</v>
      </c>
      <c r="D8" s="20" t="s">
        <v>209</v>
      </c>
      <c r="E8" s="22" t="s">
        <v>214</v>
      </c>
      <c r="F8" s="22">
        <v>26</v>
      </c>
      <c r="G8" s="69"/>
    </row>
    <row r="9" spans="1:7" ht="25.05" customHeight="1">
      <c r="A9" s="20">
        <v>6</v>
      </c>
      <c r="B9" s="21" t="s">
        <v>32</v>
      </c>
      <c r="C9" s="20" t="s">
        <v>163</v>
      </c>
      <c r="D9" s="20" t="s">
        <v>209</v>
      </c>
      <c r="E9" s="22" t="s">
        <v>312</v>
      </c>
      <c r="F9" s="22">
        <v>10</v>
      </c>
      <c r="G9" s="69"/>
    </row>
    <row r="10" spans="1:7" ht="25.05" customHeight="1">
      <c r="A10" s="20">
        <v>7</v>
      </c>
      <c r="B10" s="21" t="s">
        <v>32</v>
      </c>
      <c r="C10" s="20" t="s">
        <v>163</v>
      </c>
      <c r="D10" s="20" t="s">
        <v>209</v>
      </c>
      <c r="E10" s="22" t="s">
        <v>216</v>
      </c>
      <c r="F10" s="22">
        <v>40</v>
      </c>
      <c r="G10" s="69"/>
    </row>
    <row r="11" spans="1:7" ht="25.05" customHeight="1">
      <c r="A11" s="20">
        <v>8</v>
      </c>
      <c r="B11" s="21" t="s">
        <v>32</v>
      </c>
      <c r="C11" s="20" t="s">
        <v>163</v>
      </c>
      <c r="D11" s="20" t="s">
        <v>209</v>
      </c>
      <c r="E11" s="22" t="s">
        <v>292</v>
      </c>
      <c r="F11" s="22">
        <v>18</v>
      </c>
      <c r="G11" s="69"/>
    </row>
    <row r="12" spans="1:7" ht="25.05" customHeight="1">
      <c r="A12" s="20">
        <v>9</v>
      </c>
      <c r="B12" s="21" t="s">
        <v>32</v>
      </c>
      <c r="C12" s="20" t="s">
        <v>163</v>
      </c>
      <c r="D12" s="20" t="s">
        <v>209</v>
      </c>
      <c r="E12" s="22" t="s">
        <v>217</v>
      </c>
      <c r="F12" s="22">
        <v>55</v>
      </c>
      <c r="G12" s="69"/>
    </row>
    <row r="13" spans="1:7" ht="25.05" customHeight="1">
      <c r="A13" s="20">
        <v>10</v>
      </c>
      <c r="B13" s="21" t="s">
        <v>32</v>
      </c>
      <c r="C13" s="20" t="s">
        <v>163</v>
      </c>
      <c r="D13" s="20" t="s">
        <v>209</v>
      </c>
      <c r="E13" s="22" t="s">
        <v>400</v>
      </c>
      <c r="F13" s="22">
        <v>10</v>
      </c>
      <c r="G13" s="69"/>
    </row>
    <row r="14" spans="1:7" ht="25.05" customHeight="1">
      <c r="A14" s="20">
        <v>11</v>
      </c>
      <c r="B14" s="21" t="s">
        <v>32</v>
      </c>
      <c r="C14" s="20" t="s">
        <v>163</v>
      </c>
      <c r="D14" s="17" t="s">
        <v>219</v>
      </c>
      <c r="E14" s="36" t="s">
        <v>220</v>
      </c>
      <c r="F14" s="36">
        <f>SUM(F4:F13)</f>
        <v>261</v>
      </c>
      <c r="G14" s="19"/>
    </row>
    <row r="15" spans="1:7" ht="25.05" customHeight="1">
      <c r="A15" s="20">
        <v>12</v>
      </c>
      <c r="B15" s="21" t="s">
        <v>32</v>
      </c>
      <c r="C15" s="20" t="s">
        <v>163</v>
      </c>
      <c r="D15" s="20" t="s">
        <v>401</v>
      </c>
      <c r="E15" s="22" t="s">
        <v>402</v>
      </c>
      <c r="F15" s="22">
        <v>34</v>
      </c>
      <c r="G15" s="69"/>
    </row>
    <row r="16" spans="1:7" ht="25.05" customHeight="1">
      <c r="A16" s="20">
        <v>13</v>
      </c>
      <c r="B16" s="21" t="s">
        <v>32</v>
      </c>
      <c r="C16" s="20" t="s">
        <v>163</v>
      </c>
      <c r="D16" s="20" t="s">
        <v>401</v>
      </c>
      <c r="E16" s="22" t="s">
        <v>403</v>
      </c>
      <c r="F16" s="22">
        <v>34</v>
      </c>
      <c r="G16" s="69"/>
    </row>
    <row r="17" spans="1:7" ht="25.05" customHeight="1">
      <c r="A17" s="20">
        <v>14</v>
      </c>
      <c r="B17" s="21" t="s">
        <v>32</v>
      </c>
      <c r="C17" s="20" t="s">
        <v>163</v>
      </c>
      <c r="D17" s="20" t="s">
        <v>401</v>
      </c>
      <c r="E17" s="22" t="s">
        <v>404</v>
      </c>
      <c r="F17" s="22">
        <v>140</v>
      </c>
      <c r="G17" s="69"/>
    </row>
    <row r="18" spans="1:7" ht="25.05" customHeight="1">
      <c r="A18" s="20">
        <v>15</v>
      </c>
      <c r="B18" s="21" t="s">
        <v>32</v>
      </c>
      <c r="C18" s="20" t="s">
        <v>163</v>
      </c>
      <c r="D18" s="20" t="s">
        <v>401</v>
      </c>
      <c r="E18" s="22" t="s">
        <v>405</v>
      </c>
      <c r="F18" s="22">
        <v>60</v>
      </c>
      <c r="G18" s="69"/>
    </row>
    <row r="19" spans="1:7" ht="25.05" customHeight="1">
      <c r="A19" s="20">
        <v>16</v>
      </c>
      <c r="B19" s="21" t="s">
        <v>32</v>
      </c>
      <c r="C19" s="20" t="s">
        <v>163</v>
      </c>
      <c r="D19" s="20" t="s">
        <v>401</v>
      </c>
      <c r="E19" s="22" t="s">
        <v>406</v>
      </c>
      <c r="F19" s="22">
        <v>20</v>
      </c>
      <c r="G19" s="69"/>
    </row>
    <row r="20" spans="1:7" ht="25.05" customHeight="1">
      <c r="A20" s="20">
        <v>17</v>
      </c>
      <c r="B20" s="21" t="s">
        <v>32</v>
      </c>
      <c r="C20" s="20" t="s">
        <v>163</v>
      </c>
      <c r="D20" s="20" t="s">
        <v>401</v>
      </c>
      <c r="E20" s="22" t="s">
        <v>407</v>
      </c>
      <c r="F20" s="22">
        <v>200</v>
      </c>
      <c r="G20" s="69"/>
    </row>
    <row r="21" spans="1:7" ht="25.05" customHeight="1">
      <c r="A21" s="20">
        <v>18</v>
      </c>
      <c r="B21" s="21" t="s">
        <v>32</v>
      </c>
      <c r="C21" s="20" t="s">
        <v>163</v>
      </c>
      <c r="D21" s="20" t="s">
        <v>401</v>
      </c>
      <c r="E21" s="22" t="s">
        <v>408</v>
      </c>
      <c r="F21" s="22">
        <v>16</v>
      </c>
      <c r="G21" s="69"/>
    </row>
    <row r="22" spans="1:7" ht="25.05" customHeight="1">
      <c r="A22" s="20">
        <v>19</v>
      </c>
      <c r="B22" s="21" t="s">
        <v>32</v>
      </c>
      <c r="C22" s="20" t="s">
        <v>163</v>
      </c>
      <c r="D22" s="17" t="s">
        <v>219</v>
      </c>
      <c r="E22" s="36" t="s">
        <v>409</v>
      </c>
      <c r="F22" s="36">
        <f>SUM(F15:F21)</f>
        <v>504</v>
      </c>
      <c r="G22" s="19"/>
    </row>
    <row r="23" spans="1:7" ht="25.05" customHeight="1">
      <c r="A23" s="20">
        <v>20</v>
      </c>
      <c r="B23" s="21" t="s">
        <v>32</v>
      </c>
      <c r="C23" s="20" t="s">
        <v>163</v>
      </c>
      <c r="D23" s="20" t="s">
        <v>221</v>
      </c>
      <c r="E23" s="22" t="s">
        <v>222</v>
      </c>
      <c r="F23" s="22">
        <v>14</v>
      </c>
      <c r="G23" s="69"/>
    </row>
    <row r="24" spans="1:7" ht="25.05" customHeight="1">
      <c r="A24" s="20">
        <v>21</v>
      </c>
      <c r="B24" s="21" t="s">
        <v>32</v>
      </c>
      <c r="C24" s="20" t="s">
        <v>163</v>
      </c>
      <c r="D24" s="20" t="s">
        <v>221</v>
      </c>
      <c r="E24" s="22" t="s">
        <v>223</v>
      </c>
      <c r="F24" s="22">
        <v>22</v>
      </c>
      <c r="G24" s="69"/>
    </row>
    <row r="25" spans="1:7" ht="25.05" customHeight="1">
      <c r="A25" s="20">
        <v>22</v>
      </c>
      <c r="B25" s="21" t="s">
        <v>32</v>
      </c>
      <c r="C25" s="20" t="s">
        <v>163</v>
      </c>
      <c r="D25" s="20" t="s">
        <v>221</v>
      </c>
      <c r="E25" s="22" t="s">
        <v>224</v>
      </c>
      <c r="F25" s="22">
        <v>9</v>
      </c>
      <c r="G25" s="69"/>
    </row>
    <row r="26" spans="1:7" ht="25.05" customHeight="1">
      <c r="A26" s="20">
        <v>23</v>
      </c>
      <c r="B26" s="21" t="s">
        <v>32</v>
      </c>
      <c r="C26" s="20" t="s">
        <v>163</v>
      </c>
      <c r="D26" s="20" t="s">
        <v>221</v>
      </c>
      <c r="E26" s="22" t="s">
        <v>225</v>
      </c>
      <c r="F26" s="22">
        <v>20</v>
      </c>
      <c r="G26" s="69"/>
    </row>
    <row r="27" spans="1:7" ht="25.05" customHeight="1">
      <c r="A27" s="20">
        <v>24</v>
      </c>
      <c r="B27" s="21" t="s">
        <v>32</v>
      </c>
      <c r="C27" s="20" t="s">
        <v>163</v>
      </c>
      <c r="D27" s="20" t="s">
        <v>221</v>
      </c>
      <c r="E27" s="22" t="s">
        <v>226</v>
      </c>
      <c r="F27" s="22">
        <v>22</v>
      </c>
      <c r="G27" s="69"/>
    </row>
    <row r="28" spans="1:7" ht="25.05" customHeight="1">
      <c r="A28" s="20">
        <v>25</v>
      </c>
      <c r="B28" s="21" t="s">
        <v>32</v>
      </c>
      <c r="C28" s="20" t="s">
        <v>163</v>
      </c>
      <c r="D28" s="20" t="s">
        <v>221</v>
      </c>
      <c r="E28" s="22" t="s">
        <v>391</v>
      </c>
      <c r="F28" s="22">
        <v>20</v>
      </c>
      <c r="G28" s="69"/>
    </row>
    <row r="29" spans="1:7" ht="25.05" customHeight="1">
      <c r="A29" s="20">
        <v>26</v>
      </c>
      <c r="B29" s="21" t="s">
        <v>32</v>
      </c>
      <c r="C29" s="20" t="s">
        <v>163</v>
      </c>
      <c r="D29" s="17" t="s">
        <v>219</v>
      </c>
      <c r="E29" s="36" t="s">
        <v>228</v>
      </c>
      <c r="F29" s="35">
        <f>SUM(F23:F28)</f>
        <v>107</v>
      </c>
      <c r="G29" s="19"/>
    </row>
    <row r="30" spans="1:7" ht="25.05" customHeight="1">
      <c r="A30" s="20">
        <v>27</v>
      </c>
      <c r="B30" s="21" t="s">
        <v>32</v>
      </c>
      <c r="C30" s="20" t="s">
        <v>163</v>
      </c>
      <c r="D30" s="20" t="s">
        <v>229</v>
      </c>
      <c r="E30" s="22" t="s">
        <v>230</v>
      </c>
      <c r="F30" s="22">
        <v>14</v>
      </c>
      <c r="G30" s="69"/>
    </row>
    <row r="31" spans="1:7" ht="25.05" customHeight="1">
      <c r="A31" s="20">
        <v>28</v>
      </c>
      <c r="B31" s="21" t="s">
        <v>32</v>
      </c>
      <c r="C31" s="20" t="s">
        <v>163</v>
      </c>
      <c r="D31" s="20" t="s">
        <v>229</v>
      </c>
      <c r="E31" s="22" t="s">
        <v>231</v>
      </c>
      <c r="F31" s="22">
        <v>45</v>
      </c>
      <c r="G31" s="69"/>
    </row>
    <row r="32" spans="1:7" ht="25.05" customHeight="1">
      <c r="A32" s="20">
        <v>29</v>
      </c>
      <c r="B32" s="21" t="s">
        <v>32</v>
      </c>
      <c r="C32" s="20" t="s">
        <v>163</v>
      </c>
      <c r="D32" s="20" t="s">
        <v>229</v>
      </c>
      <c r="E32" s="22" t="s">
        <v>412</v>
      </c>
      <c r="F32" s="22">
        <v>40</v>
      </c>
      <c r="G32" s="69"/>
    </row>
    <row r="33" spans="1:7" ht="25.05" customHeight="1">
      <c r="A33" s="20">
        <v>30</v>
      </c>
      <c r="B33" s="21" t="s">
        <v>32</v>
      </c>
      <c r="C33" s="20" t="s">
        <v>163</v>
      </c>
      <c r="D33" s="20" t="s">
        <v>229</v>
      </c>
      <c r="E33" s="22" t="s">
        <v>446</v>
      </c>
      <c r="F33" s="22">
        <v>25</v>
      </c>
      <c r="G33" s="69"/>
    </row>
    <row r="34" spans="1:7" ht="25.05" customHeight="1">
      <c r="A34" s="20">
        <v>31</v>
      </c>
      <c r="B34" s="21" t="s">
        <v>32</v>
      </c>
      <c r="C34" s="20" t="s">
        <v>163</v>
      </c>
      <c r="D34" s="20" t="s">
        <v>229</v>
      </c>
      <c r="E34" s="22" t="s">
        <v>447</v>
      </c>
      <c r="F34" s="22">
        <v>30</v>
      </c>
      <c r="G34" s="69"/>
    </row>
    <row r="35" spans="1:7" ht="25.05" customHeight="1">
      <c r="A35" s="20">
        <v>32</v>
      </c>
      <c r="B35" s="21" t="s">
        <v>32</v>
      </c>
      <c r="C35" s="20" t="s">
        <v>163</v>
      </c>
      <c r="D35" s="20" t="s">
        <v>229</v>
      </c>
      <c r="E35" s="22" t="s">
        <v>448</v>
      </c>
      <c r="F35" s="22">
        <v>20</v>
      </c>
      <c r="G35" s="69"/>
    </row>
    <row r="36" spans="1:7" ht="25.05" customHeight="1">
      <c r="A36" s="20">
        <v>33</v>
      </c>
      <c r="B36" s="21" t="s">
        <v>32</v>
      </c>
      <c r="C36" s="20" t="s">
        <v>163</v>
      </c>
      <c r="D36" s="20" t="s">
        <v>229</v>
      </c>
      <c r="E36" s="22" t="s">
        <v>415</v>
      </c>
      <c r="F36" s="22">
        <v>120</v>
      </c>
      <c r="G36" s="69"/>
    </row>
    <row r="37" spans="1:7" ht="25.05" customHeight="1">
      <c r="A37" s="20">
        <v>34</v>
      </c>
      <c r="B37" s="21" t="s">
        <v>32</v>
      </c>
      <c r="C37" s="20" t="s">
        <v>163</v>
      </c>
      <c r="D37" s="20" t="s">
        <v>229</v>
      </c>
      <c r="E37" s="22" t="s">
        <v>416</v>
      </c>
      <c r="F37" s="22">
        <v>8</v>
      </c>
      <c r="G37" s="69"/>
    </row>
    <row r="38" spans="1:7" ht="25.05" customHeight="1">
      <c r="A38" s="20">
        <v>35</v>
      </c>
      <c r="B38" s="21" t="s">
        <v>32</v>
      </c>
      <c r="C38" s="20" t="s">
        <v>163</v>
      </c>
      <c r="D38" s="20" t="s">
        <v>229</v>
      </c>
      <c r="E38" s="22" t="s">
        <v>430</v>
      </c>
      <c r="F38" s="22">
        <v>10</v>
      </c>
      <c r="G38" s="69"/>
    </row>
    <row r="39" spans="1:7" ht="25.05" customHeight="1">
      <c r="A39" s="20">
        <v>36</v>
      </c>
      <c r="B39" s="21" t="s">
        <v>32</v>
      </c>
      <c r="C39" s="20" t="s">
        <v>163</v>
      </c>
      <c r="D39" s="20" t="s">
        <v>229</v>
      </c>
      <c r="E39" s="22" t="s">
        <v>431</v>
      </c>
      <c r="F39" s="22">
        <v>12</v>
      </c>
      <c r="G39" s="69"/>
    </row>
    <row r="40" spans="1:7" ht="25.05" customHeight="1">
      <c r="A40" s="20">
        <v>37</v>
      </c>
      <c r="B40" s="21" t="s">
        <v>32</v>
      </c>
      <c r="C40" s="20" t="s">
        <v>163</v>
      </c>
      <c r="D40" s="17" t="s">
        <v>219</v>
      </c>
      <c r="E40" s="36" t="s">
        <v>238</v>
      </c>
      <c r="F40" s="35">
        <f>SUM(F30:F39)</f>
        <v>324</v>
      </c>
      <c r="G40" s="19"/>
    </row>
    <row r="41" spans="1:7" ht="25.05" customHeight="1">
      <c r="A41" s="20">
        <v>38</v>
      </c>
      <c r="B41" s="21" t="s">
        <v>32</v>
      </c>
      <c r="C41" s="20" t="s">
        <v>163</v>
      </c>
      <c r="D41" s="20" t="s">
        <v>239</v>
      </c>
      <c r="E41" s="22" t="s">
        <v>240</v>
      </c>
      <c r="F41" s="22">
        <v>70</v>
      </c>
      <c r="G41" s="69"/>
    </row>
    <row r="42" spans="1:7" ht="25.05" customHeight="1">
      <c r="A42" s="20">
        <v>39</v>
      </c>
      <c r="B42" s="21" t="s">
        <v>32</v>
      </c>
      <c r="C42" s="20" t="s">
        <v>163</v>
      </c>
      <c r="D42" s="20" t="s">
        <v>239</v>
      </c>
      <c r="E42" s="22" t="s">
        <v>241</v>
      </c>
      <c r="F42" s="22">
        <v>60</v>
      </c>
      <c r="G42" s="69"/>
    </row>
    <row r="43" spans="1:7" ht="25.05" customHeight="1">
      <c r="A43" s="20">
        <v>40</v>
      </c>
      <c r="B43" s="21" t="s">
        <v>32</v>
      </c>
      <c r="C43" s="20" t="s">
        <v>163</v>
      </c>
      <c r="D43" s="17" t="s">
        <v>219</v>
      </c>
      <c r="E43" s="36" t="s">
        <v>242</v>
      </c>
      <c r="F43" s="36">
        <f>SUM(F41:F42)</f>
        <v>130</v>
      </c>
      <c r="G43" s="19"/>
    </row>
    <row r="44" spans="1:7" ht="25.05" customHeight="1">
      <c r="A44" s="20">
        <v>41</v>
      </c>
      <c r="B44" s="21" t="s">
        <v>32</v>
      </c>
      <c r="C44" s="20" t="s">
        <v>163</v>
      </c>
      <c r="D44" s="20" t="s">
        <v>259</v>
      </c>
      <c r="E44" s="22" t="s">
        <v>449</v>
      </c>
      <c r="F44" s="22">
        <v>10</v>
      </c>
      <c r="G44" s="69"/>
    </row>
    <row r="45" spans="1:7" ht="25.05" customHeight="1">
      <c r="A45" s="20">
        <v>42</v>
      </c>
      <c r="B45" s="21" t="s">
        <v>32</v>
      </c>
      <c r="C45" s="20" t="s">
        <v>163</v>
      </c>
      <c r="D45" s="20" t="s">
        <v>259</v>
      </c>
      <c r="E45" s="28" t="s">
        <v>450</v>
      </c>
      <c r="F45" s="22">
        <v>45</v>
      </c>
      <c r="G45" s="69"/>
    </row>
    <row r="46" spans="1:7" ht="25.05" customHeight="1">
      <c r="A46" s="20">
        <v>43</v>
      </c>
      <c r="B46" s="21" t="s">
        <v>32</v>
      </c>
      <c r="C46" s="20" t="s">
        <v>163</v>
      </c>
      <c r="D46" s="17" t="s">
        <v>219</v>
      </c>
      <c r="E46" s="36" t="s">
        <v>261</v>
      </c>
      <c r="F46" s="36">
        <f>SUM(F44:F45)</f>
        <v>55</v>
      </c>
      <c r="G46" s="19"/>
    </row>
    <row r="47" spans="1:7" ht="25.05" customHeight="1">
      <c r="A47" s="20">
        <v>44</v>
      </c>
      <c r="B47" s="21" t="s">
        <v>32</v>
      </c>
      <c r="C47" s="20" t="s">
        <v>163</v>
      </c>
      <c r="D47" s="20" t="s">
        <v>243</v>
      </c>
      <c r="E47" s="22" t="s">
        <v>451</v>
      </c>
      <c r="F47" s="22">
        <v>11.4</v>
      </c>
      <c r="G47" s="69"/>
    </row>
    <row r="48" spans="1:7" ht="25.05" customHeight="1">
      <c r="A48" s="20">
        <v>45</v>
      </c>
      <c r="B48" s="21" t="s">
        <v>32</v>
      </c>
      <c r="C48" s="20" t="s">
        <v>163</v>
      </c>
      <c r="D48" s="20" t="s">
        <v>243</v>
      </c>
      <c r="E48" s="22" t="s">
        <v>452</v>
      </c>
      <c r="F48" s="22">
        <v>11.4</v>
      </c>
      <c r="G48" s="69"/>
    </row>
    <row r="49" spans="1:7" ht="25.05" customHeight="1">
      <c r="A49" s="20">
        <v>46</v>
      </c>
      <c r="B49" s="21" t="s">
        <v>32</v>
      </c>
      <c r="C49" s="20" t="s">
        <v>163</v>
      </c>
      <c r="D49" s="20" t="s">
        <v>243</v>
      </c>
      <c r="E49" s="22" t="s">
        <v>453</v>
      </c>
      <c r="F49" s="22">
        <v>19.8</v>
      </c>
      <c r="G49" s="69"/>
    </row>
    <row r="50" spans="1:7" ht="25.05" customHeight="1">
      <c r="A50" s="20">
        <v>47</v>
      </c>
      <c r="B50" s="21" t="s">
        <v>32</v>
      </c>
      <c r="C50" s="20" t="s">
        <v>163</v>
      </c>
      <c r="D50" s="20" t="s">
        <v>243</v>
      </c>
      <c r="E50" s="22" t="s">
        <v>423</v>
      </c>
      <c r="F50" s="22">
        <v>2</v>
      </c>
      <c r="G50" s="69"/>
    </row>
    <row r="51" spans="1:7" ht="25.05" customHeight="1">
      <c r="A51" s="20">
        <v>48</v>
      </c>
      <c r="B51" s="21" t="s">
        <v>32</v>
      </c>
      <c r="C51" s="20" t="s">
        <v>163</v>
      </c>
      <c r="D51" s="17" t="s">
        <v>219</v>
      </c>
      <c r="E51" s="36" t="s">
        <v>248</v>
      </c>
      <c r="F51" s="36">
        <f>SUM(F47:F50)</f>
        <v>44.6</v>
      </c>
      <c r="G51" s="19"/>
    </row>
    <row r="52" spans="1:7" ht="25.05" customHeight="1">
      <c r="A52" s="20">
        <v>49</v>
      </c>
      <c r="B52" s="21" t="s">
        <v>32</v>
      </c>
      <c r="C52" s="20" t="s">
        <v>163</v>
      </c>
      <c r="D52" s="20" t="s">
        <v>249</v>
      </c>
      <c r="E52" s="22" t="s">
        <v>281</v>
      </c>
      <c r="F52" s="22">
        <v>10</v>
      </c>
      <c r="G52" s="69"/>
    </row>
    <row r="53" spans="1:7" ht="25.05" customHeight="1">
      <c r="A53" s="20">
        <v>50</v>
      </c>
      <c r="B53" s="21" t="s">
        <v>32</v>
      </c>
      <c r="C53" s="20" t="s">
        <v>163</v>
      </c>
      <c r="D53" s="20" t="s">
        <v>249</v>
      </c>
      <c r="E53" s="22" t="s">
        <v>282</v>
      </c>
      <c r="F53" s="22">
        <v>10</v>
      </c>
      <c r="G53" s="69"/>
    </row>
    <row r="54" spans="1:7" s="47" customFormat="1" ht="31.5" customHeight="1">
      <c r="A54" s="20">
        <v>51</v>
      </c>
      <c r="B54" s="65" t="s">
        <v>32</v>
      </c>
      <c r="C54" s="38" t="s">
        <v>163</v>
      </c>
      <c r="D54" s="38" t="s">
        <v>249</v>
      </c>
      <c r="E54" s="34" t="s">
        <v>865</v>
      </c>
      <c r="F54" s="40">
        <v>0</v>
      </c>
      <c r="G54" s="84" t="s">
        <v>905</v>
      </c>
    </row>
    <row r="55" spans="1:7" s="47" customFormat="1" ht="25.05" customHeight="1">
      <c r="A55" s="20">
        <v>52</v>
      </c>
      <c r="B55" s="65" t="s">
        <v>32</v>
      </c>
      <c r="C55" s="38" t="s">
        <v>163</v>
      </c>
      <c r="D55" s="38" t="s">
        <v>249</v>
      </c>
      <c r="E55" s="34" t="s">
        <v>599</v>
      </c>
      <c r="F55" s="40">
        <v>10</v>
      </c>
      <c r="G55" s="84"/>
    </row>
    <row r="56" spans="1:7" s="47" customFormat="1" ht="25.05" customHeight="1">
      <c r="A56" s="20">
        <v>53</v>
      </c>
      <c r="B56" s="65" t="s">
        <v>32</v>
      </c>
      <c r="C56" s="38" t="s">
        <v>163</v>
      </c>
      <c r="D56" s="38" t="s">
        <v>249</v>
      </c>
      <c r="E56" s="34" t="s">
        <v>600</v>
      </c>
      <c r="F56" s="40">
        <v>40</v>
      </c>
      <c r="G56" s="84"/>
    </row>
    <row r="57" spans="1:7" s="47" customFormat="1" ht="25.05" customHeight="1">
      <c r="A57" s="20">
        <v>54</v>
      </c>
      <c r="B57" s="65" t="s">
        <v>32</v>
      </c>
      <c r="C57" s="38" t="s">
        <v>163</v>
      </c>
      <c r="D57" s="38" t="s">
        <v>249</v>
      </c>
      <c r="E57" s="34" t="s">
        <v>867</v>
      </c>
      <c r="F57" s="40">
        <v>40</v>
      </c>
      <c r="G57" s="84"/>
    </row>
    <row r="58" spans="1:7" s="47" customFormat="1" ht="25.05" customHeight="1">
      <c r="A58" s="20">
        <v>55</v>
      </c>
      <c r="B58" s="65" t="s">
        <v>32</v>
      </c>
      <c r="C58" s="38" t="s">
        <v>163</v>
      </c>
      <c r="D58" s="38" t="s">
        <v>249</v>
      </c>
      <c r="E58" s="34" t="s">
        <v>334</v>
      </c>
      <c r="F58" s="34">
        <v>36</v>
      </c>
      <c r="G58" s="84"/>
    </row>
    <row r="59" spans="1:7" ht="25.05" customHeight="1">
      <c r="A59" s="20">
        <v>56</v>
      </c>
      <c r="B59" s="21" t="s">
        <v>32</v>
      </c>
      <c r="C59" s="20" t="s">
        <v>163</v>
      </c>
      <c r="D59" s="20" t="s">
        <v>249</v>
      </c>
      <c r="E59" s="22" t="s">
        <v>284</v>
      </c>
      <c r="F59" s="22">
        <v>10</v>
      </c>
      <c r="G59" s="69"/>
    </row>
    <row r="60" spans="1:7" ht="25.05" customHeight="1">
      <c r="A60" s="20">
        <v>57</v>
      </c>
      <c r="B60" s="21" t="s">
        <v>32</v>
      </c>
      <c r="C60" s="20" t="s">
        <v>163</v>
      </c>
      <c r="D60" s="20" t="s">
        <v>249</v>
      </c>
      <c r="E60" s="22" t="s">
        <v>454</v>
      </c>
      <c r="F60" s="22">
        <v>10</v>
      </c>
      <c r="G60" s="69"/>
    </row>
    <row r="61" spans="1:7" ht="25.05" customHeight="1">
      <c r="A61" s="20">
        <v>58</v>
      </c>
      <c r="B61" s="21" t="s">
        <v>32</v>
      </c>
      <c r="C61" s="20" t="s">
        <v>163</v>
      </c>
      <c r="D61" s="17" t="s">
        <v>219</v>
      </c>
      <c r="E61" s="36" t="s">
        <v>248</v>
      </c>
      <c r="F61" s="36">
        <f>SUM(F52:F60)</f>
        <v>166</v>
      </c>
      <c r="G61" s="19"/>
    </row>
    <row r="62" spans="1:7" ht="25.05" customHeight="1">
      <c r="A62" s="20">
        <v>59</v>
      </c>
      <c r="B62" s="21" t="s">
        <v>32</v>
      </c>
      <c r="C62" s="20" t="s">
        <v>163</v>
      </c>
      <c r="D62" s="69" t="s">
        <v>256</v>
      </c>
      <c r="E62" s="28" t="s">
        <v>286</v>
      </c>
      <c r="F62" s="51">
        <v>10</v>
      </c>
      <c r="G62" s="69"/>
    </row>
    <row r="63" spans="1:7" ht="25.05" customHeight="1">
      <c r="A63" s="20">
        <v>60</v>
      </c>
      <c r="B63" s="21" t="s">
        <v>32</v>
      </c>
      <c r="C63" s="20" t="s">
        <v>163</v>
      </c>
      <c r="D63" s="17" t="s">
        <v>219</v>
      </c>
      <c r="E63" s="36" t="s">
        <v>258</v>
      </c>
      <c r="F63" s="36">
        <f>SUM(F62)</f>
        <v>10</v>
      </c>
      <c r="G63" s="19"/>
    </row>
    <row r="64" spans="1:7" ht="25.05" customHeight="1">
      <c r="A64" s="20">
        <v>61</v>
      </c>
      <c r="B64" s="21" t="s">
        <v>32</v>
      </c>
      <c r="C64" s="20" t="s">
        <v>163</v>
      </c>
      <c r="D64" s="20" t="s">
        <v>262</v>
      </c>
      <c r="E64" s="22" t="s">
        <v>425</v>
      </c>
      <c r="F64" s="22">
        <v>255</v>
      </c>
      <c r="G64" s="69"/>
    </row>
    <row r="65" spans="1:7" ht="25.05" customHeight="1">
      <c r="A65" s="20">
        <v>62</v>
      </c>
      <c r="B65" s="21" t="s">
        <v>32</v>
      </c>
      <c r="C65" s="20" t="s">
        <v>163</v>
      </c>
      <c r="D65" s="20" t="s">
        <v>262</v>
      </c>
      <c r="E65" s="22" t="s">
        <v>264</v>
      </c>
      <c r="F65" s="22">
        <v>40</v>
      </c>
      <c r="G65" s="69"/>
    </row>
    <row r="66" spans="1:7" ht="25.05" customHeight="1">
      <c r="A66" s="20">
        <v>63</v>
      </c>
      <c r="B66" s="21" t="s">
        <v>32</v>
      </c>
      <c r="C66" s="20" t="s">
        <v>163</v>
      </c>
      <c r="D66" s="20" t="s">
        <v>262</v>
      </c>
      <c r="E66" s="22" t="s">
        <v>265</v>
      </c>
      <c r="F66" s="22">
        <v>40</v>
      </c>
      <c r="G66" s="69"/>
    </row>
    <row r="67" spans="1:7" ht="25.05" customHeight="1">
      <c r="A67" s="20">
        <v>64</v>
      </c>
      <c r="B67" s="21" t="s">
        <v>32</v>
      </c>
      <c r="C67" s="20" t="s">
        <v>163</v>
      </c>
      <c r="D67" s="17" t="s">
        <v>219</v>
      </c>
      <c r="E67" s="36" t="s">
        <v>266</v>
      </c>
      <c r="F67" s="36">
        <f>SUM(F64:F66)</f>
        <v>335</v>
      </c>
      <c r="G67" s="19"/>
    </row>
    <row r="68" spans="1:7" ht="25.05" customHeight="1">
      <c r="A68" s="20">
        <v>65</v>
      </c>
      <c r="B68" s="21" t="s">
        <v>32</v>
      </c>
      <c r="C68" s="20" t="s">
        <v>163</v>
      </c>
      <c r="D68" s="17" t="s">
        <v>267</v>
      </c>
      <c r="E68" s="36" t="s">
        <v>906</v>
      </c>
      <c r="F68" s="36">
        <v>1937</v>
      </c>
      <c r="G68" s="19"/>
    </row>
    <row r="69" spans="1:7" ht="25.05" customHeight="1">
      <c r="A69" s="240" t="s">
        <v>907</v>
      </c>
      <c r="B69" s="240"/>
      <c r="C69" s="240"/>
      <c r="D69" s="240"/>
      <c r="E69" s="240"/>
      <c r="F69" s="240"/>
      <c r="G69" s="240"/>
    </row>
  </sheetData>
  <autoFilter ref="A3:G69" xr:uid="{00000000-0009-0000-0000-000034000000}"/>
  <mergeCells count="3">
    <mergeCell ref="A1:G1"/>
    <mergeCell ref="A2:G2"/>
    <mergeCell ref="A69:G69"/>
  </mergeCells>
  <phoneticPr fontId="23" type="noConversion"/>
  <pageMargins left="0.59055118110236204" right="0.23" top="0.35433070866141703" bottom="0.511811023622047" header="0.35433070866141703" footer="0.27559055118110198"/>
  <pageSetup paperSize="9" orientation="portrait" r:id="rId1"/>
  <headerFooter>
    <oddFooter>&amp;C&amp;8第 &amp;P 页，共 &amp;N 页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65"/>
  <sheetViews>
    <sheetView view="pageBreakPreview" zoomScale="115" zoomScaleNormal="85" workbookViewId="0">
      <pane ySplit="3" topLeftCell="A4" activePane="bottomLeft" state="frozen"/>
      <selection pane="bottomLeft" activeCell="E11" sqref="E11"/>
    </sheetView>
  </sheetViews>
  <sheetFormatPr defaultColWidth="9" defaultRowHeight="15.75"/>
  <cols>
    <col min="1" max="1" width="4.06640625" style="13" customWidth="1"/>
    <col min="2" max="2" width="9.59765625" style="14" customWidth="1"/>
    <col min="3" max="3" width="13.73046875" style="13" customWidth="1"/>
    <col min="4" max="4" width="12" style="13" customWidth="1"/>
    <col min="5" max="5" width="43.9296875" style="13" customWidth="1"/>
    <col min="6" max="6" width="7.06640625" style="13" customWidth="1"/>
    <col min="7" max="7" width="8.19921875" style="13" customWidth="1"/>
    <col min="8" max="16384" width="9" style="16"/>
  </cols>
  <sheetData>
    <row r="1" spans="1:7" ht="25.05" customHeight="1">
      <c r="A1" s="215" t="s">
        <v>908</v>
      </c>
      <c r="B1" s="215"/>
      <c r="C1" s="215"/>
      <c r="D1" s="215"/>
      <c r="E1" s="215"/>
      <c r="F1" s="235"/>
      <c r="G1" s="235"/>
    </row>
    <row r="2" spans="1:7" ht="25.05" customHeight="1">
      <c r="A2" s="230" t="s">
        <v>909</v>
      </c>
      <c r="B2" s="230"/>
      <c r="C2" s="230"/>
      <c r="D2" s="230"/>
      <c r="E2" s="230"/>
      <c r="F2" s="230"/>
      <c r="G2" s="230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165</v>
      </c>
      <c r="D4" s="20" t="s">
        <v>209</v>
      </c>
      <c r="E4" s="22" t="s">
        <v>210</v>
      </c>
      <c r="F4" s="22">
        <v>19</v>
      </c>
      <c r="G4" s="22"/>
    </row>
    <row r="5" spans="1:7" ht="25.05" customHeight="1">
      <c r="A5" s="20">
        <v>2</v>
      </c>
      <c r="B5" s="21" t="s">
        <v>32</v>
      </c>
      <c r="C5" s="20" t="s">
        <v>165</v>
      </c>
      <c r="D5" s="20" t="s">
        <v>209</v>
      </c>
      <c r="E5" s="22" t="s">
        <v>211</v>
      </c>
      <c r="F5" s="22">
        <v>15</v>
      </c>
      <c r="G5" s="22"/>
    </row>
    <row r="6" spans="1:7" ht="25.05" customHeight="1">
      <c r="A6" s="20">
        <v>3</v>
      </c>
      <c r="B6" s="21" t="s">
        <v>32</v>
      </c>
      <c r="C6" s="20" t="s">
        <v>165</v>
      </c>
      <c r="D6" s="20" t="s">
        <v>209</v>
      </c>
      <c r="E6" s="22" t="s">
        <v>212</v>
      </c>
      <c r="F6" s="22">
        <v>34</v>
      </c>
      <c r="G6" s="22"/>
    </row>
    <row r="7" spans="1:7" ht="25.05" customHeight="1">
      <c r="A7" s="20">
        <v>4</v>
      </c>
      <c r="B7" s="21" t="s">
        <v>32</v>
      </c>
      <c r="C7" s="20" t="s">
        <v>165</v>
      </c>
      <c r="D7" s="20" t="s">
        <v>209</v>
      </c>
      <c r="E7" s="22" t="s">
        <v>272</v>
      </c>
      <c r="F7" s="22">
        <v>34</v>
      </c>
      <c r="G7" s="22"/>
    </row>
    <row r="8" spans="1:7" ht="25.05" customHeight="1">
      <c r="A8" s="20">
        <v>5</v>
      </c>
      <c r="B8" s="21" t="s">
        <v>32</v>
      </c>
      <c r="C8" s="20" t="s">
        <v>165</v>
      </c>
      <c r="D8" s="20" t="s">
        <v>209</v>
      </c>
      <c r="E8" s="22" t="s">
        <v>214</v>
      </c>
      <c r="F8" s="22">
        <v>26</v>
      </c>
      <c r="G8" s="22"/>
    </row>
    <row r="9" spans="1:7" ht="25.05" customHeight="1">
      <c r="A9" s="20">
        <v>6</v>
      </c>
      <c r="B9" s="21" t="s">
        <v>32</v>
      </c>
      <c r="C9" s="20" t="s">
        <v>165</v>
      </c>
      <c r="D9" s="20" t="s">
        <v>209</v>
      </c>
      <c r="E9" s="22" t="s">
        <v>312</v>
      </c>
      <c r="F9" s="22">
        <v>10</v>
      </c>
      <c r="G9" s="22"/>
    </row>
    <row r="10" spans="1:7" ht="25.05" customHeight="1">
      <c r="A10" s="20">
        <v>7</v>
      </c>
      <c r="B10" s="21" t="s">
        <v>32</v>
      </c>
      <c r="C10" s="20" t="s">
        <v>165</v>
      </c>
      <c r="D10" s="20" t="s">
        <v>209</v>
      </c>
      <c r="E10" s="22" t="s">
        <v>216</v>
      </c>
      <c r="F10" s="22">
        <v>40</v>
      </c>
      <c r="G10" s="22"/>
    </row>
    <row r="11" spans="1:7" ht="25.05" customHeight="1">
      <c r="A11" s="20">
        <v>8</v>
      </c>
      <c r="B11" s="21" t="s">
        <v>32</v>
      </c>
      <c r="C11" s="20" t="s">
        <v>165</v>
      </c>
      <c r="D11" s="20" t="s">
        <v>209</v>
      </c>
      <c r="E11" s="22" t="s">
        <v>292</v>
      </c>
      <c r="F11" s="22">
        <v>18</v>
      </c>
      <c r="G11" s="22"/>
    </row>
    <row r="12" spans="1:7" ht="25.05" customHeight="1">
      <c r="A12" s="20">
        <v>9</v>
      </c>
      <c r="B12" s="21" t="s">
        <v>32</v>
      </c>
      <c r="C12" s="20" t="s">
        <v>165</v>
      </c>
      <c r="D12" s="20" t="s">
        <v>209</v>
      </c>
      <c r="E12" s="22" t="s">
        <v>217</v>
      </c>
      <c r="F12" s="22">
        <v>55</v>
      </c>
      <c r="G12" s="22"/>
    </row>
    <row r="13" spans="1:7" ht="25.05" customHeight="1">
      <c r="A13" s="20">
        <v>10</v>
      </c>
      <c r="B13" s="21" t="s">
        <v>32</v>
      </c>
      <c r="C13" s="20" t="s">
        <v>165</v>
      </c>
      <c r="D13" s="20" t="s">
        <v>209</v>
      </c>
      <c r="E13" s="22" t="s">
        <v>400</v>
      </c>
      <c r="F13" s="22">
        <v>10</v>
      </c>
      <c r="G13" s="22"/>
    </row>
    <row r="14" spans="1:7" ht="25.05" customHeight="1">
      <c r="A14" s="20">
        <v>11</v>
      </c>
      <c r="B14" s="21" t="s">
        <v>32</v>
      </c>
      <c r="C14" s="20" t="s">
        <v>165</v>
      </c>
      <c r="D14" s="17" t="s">
        <v>219</v>
      </c>
      <c r="E14" s="36" t="s">
        <v>220</v>
      </c>
      <c r="F14" s="36">
        <f>SUM(F4:F13)</f>
        <v>261</v>
      </c>
      <c r="G14" s="36"/>
    </row>
    <row r="15" spans="1:7" ht="25.05" customHeight="1">
      <c r="A15" s="20">
        <v>12</v>
      </c>
      <c r="B15" s="21" t="s">
        <v>32</v>
      </c>
      <c r="C15" s="20" t="s">
        <v>165</v>
      </c>
      <c r="D15" s="20" t="s">
        <v>401</v>
      </c>
      <c r="E15" s="22" t="s">
        <v>402</v>
      </c>
      <c r="F15" s="22">
        <v>34</v>
      </c>
      <c r="G15" s="22"/>
    </row>
    <row r="16" spans="1:7" ht="25.05" customHeight="1">
      <c r="A16" s="20">
        <v>13</v>
      </c>
      <c r="B16" s="21" t="s">
        <v>32</v>
      </c>
      <c r="C16" s="20" t="s">
        <v>165</v>
      </c>
      <c r="D16" s="20" t="s">
        <v>401</v>
      </c>
      <c r="E16" s="22" t="s">
        <v>403</v>
      </c>
      <c r="F16" s="22">
        <v>34</v>
      </c>
      <c r="G16" s="22"/>
    </row>
    <row r="17" spans="1:7" ht="25.05" customHeight="1">
      <c r="A17" s="20">
        <v>14</v>
      </c>
      <c r="B17" s="21" t="s">
        <v>32</v>
      </c>
      <c r="C17" s="20" t="s">
        <v>165</v>
      </c>
      <c r="D17" s="20" t="s">
        <v>401</v>
      </c>
      <c r="E17" s="22" t="s">
        <v>404</v>
      </c>
      <c r="F17" s="22">
        <v>140</v>
      </c>
      <c r="G17" s="22"/>
    </row>
    <row r="18" spans="1:7" ht="25.05" customHeight="1">
      <c r="A18" s="20">
        <v>15</v>
      </c>
      <c r="B18" s="21" t="s">
        <v>32</v>
      </c>
      <c r="C18" s="20" t="s">
        <v>165</v>
      </c>
      <c r="D18" s="20" t="s">
        <v>401</v>
      </c>
      <c r="E18" s="22" t="s">
        <v>405</v>
      </c>
      <c r="F18" s="22">
        <v>60</v>
      </c>
      <c r="G18" s="22"/>
    </row>
    <row r="19" spans="1:7" ht="25.05" customHeight="1">
      <c r="A19" s="20">
        <v>16</v>
      </c>
      <c r="B19" s="21" t="s">
        <v>32</v>
      </c>
      <c r="C19" s="20" t="s">
        <v>165</v>
      </c>
      <c r="D19" s="20" t="s">
        <v>401</v>
      </c>
      <c r="E19" s="22" t="s">
        <v>406</v>
      </c>
      <c r="F19" s="22">
        <v>20</v>
      </c>
      <c r="G19" s="22"/>
    </row>
    <row r="20" spans="1:7" ht="25.05" customHeight="1">
      <c r="A20" s="20">
        <v>17</v>
      </c>
      <c r="B20" s="21" t="s">
        <v>32</v>
      </c>
      <c r="C20" s="20" t="s">
        <v>165</v>
      </c>
      <c r="D20" s="20" t="s">
        <v>401</v>
      </c>
      <c r="E20" s="22" t="s">
        <v>407</v>
      </c>
      <c r="F20" s="22">
        <v>200</v>
      </c>
      <c r="G20" s="22"/>
    </row>
    <row r="21" spans="1:7" ht="25.05" customHeight="1">
      <c r="A21" s="20">
        <v>18</v>
      </c>
      <c r="B21" s="21" t="s">
        <v>32</v>
      </c>
      <c r="C21" s="20" t="s">
        <v>165</v>
      </c>
      <c r="D21" s="20" t="s">
        <v>401</v>
      </c>
      <c r="E21" s="22" t="s">
        <v>408</v>
      </c>
      <c r="F21" s="22">
        <v>16</v>
      </c>
      <c r="G21" s="22"/>
    </row>
    <row r="22" spans="1:7" ht="25.05" customHeight="1">
      <c r="A22" s="20">
        <v>19</v>
      </c>
      <c r="B22" s="21" t="s">
        <v>32</v>
      </c>
      <c r="C22" s="20" t="s">
        <v>165</v>
      </c>
      <c r="D22" s="17" t="s">
        <v>219</v>
      </c>
      <c r="E22" s="36" t="s">
        <v>409</v>
      </c>
      <c r="F22" s="36">
        <f>SUM(F15:F21)</f>
        <v>504</v>
      </c>
      <c r="G22" s="36"/>
    </row>
    <row r="23" spans="1:7" ht="25.05" customHeight="1">
      <c r="A23" s="20">
        <v>20</v>
      </c>
      <c r="B23" s="21" t="s">
        <v>32</v>
      </c>
      <c r="C23" s="20" t="s">
        <v>165</v>
      </c>
      <c r="D23" s="20" t="s">
        <v>221</v>
      </c>
      <c r="E23" s="22" t="s">
        <v>222</v>
      </c>
      <c r="F23" s="22">
        <v>14</v>
      </c>
      <c r="G23" s="22"/>
    </row>
    <row r="24" spans="1:7" ht="25.05" customHeight="1">
      <c r="A24" s="20">
        <v>21</v>
      </c>
      <c r="B24" s="21" t="s">
        <v>32</v>
      </c>
      <c r="C24" s="20" t="s">
        <v>165</v>
      </c>
      <c r="D24" s="20" t="s">
        <v>221</v>
      </c>
      <c r="E24" s="22" t="s">
        <v>223</v>
      </c>
      <c r="F24" s="22">
        <v>22</v>
      </c>
      <c r="G24" s="22"/>
    </row>
    <row r="25" spans="1:7" ht="25.05" customHeight="1">
      <c r="A25" s="20">
        <v>22</v>
      </c>
      <c r="B25" s="21" t="s">
        <v>32</v>
      </c>
      <c r="C25" s="20" t="s">
        <v>165</v>
      </c>
      <c r="D25" s="20" t="s">
        <v>221</v>
      </c>
      <c r="E25" s="22" t="s">
        <v>224</v>
      </c>
      <c r="F25" s="22">
        <v>9</v>
      </c>
      <c r="G25" s="22"/>
    </row>
    <row r="26" spans="1:7" ht="25.05" customHeight="1">
      <c r="A26" s="20">
        <v>23</v>
      </c>
      <c r="B26" s="21" t="s">
        <v>32</v>
      </c>
      <c r="C26" s="20" t="s">
        <v>165</v>
      </c>
      <c r="D26" s="20" t="s">
        <v>221</v>
      </c>
      <c r="E26" s="22" t="s">
        <v>225</v>
      </c>
      <c r="F26" s="22">
        <v>20</v>
      </c>
      <c r="G26" s="22"/>
    </row>
    <row r="27" spans="1:7" ht="25.05" customHeight="1">
      <c r="A27" s="20">
        <v>24</v>
      </c>
      <c r="B27" s="21" t="s">
        <v>32</v>
      </c>
      <c r="C27" s="20" t="s">
        <v>165</v>
      </c>
      <c r="D27" s="20" t="s">
        <v>221</v>
      </c>
      <c r="E27" s="22" t="s">
        <v>226</v>
      </c>
      <c r="F27" s="22">
        <v>22</v>
      </c>
      <c r="G27" s="22"/>
    </row>
    <row r="28" spans="1:7" ht="25.05" customHeight="1">
      <c r="A28" s="20">
        <v>25</v>
      </c>
      <c r="B28" s="21" t="s">
        <v>32</v>
      </c>
      <c r="C28" s="20" t="s">
        <v>165</v>
      </c>
      <c r="D28" s="20" t="s">
        <v>221</v>
      </c>
      <c r="E28" s="22" t="s">
        <v>391</v>
      </c>
      <c r="F28" s="22">
        <v>20</v>
      </c>
      <c r="G28" s="22"/>
    </row>
    <row r="29" spans="1:7" ht="25.05" customHeight="1">
      <c r="A29" s="20">
        <v>26</v>
      </c>
      <c r="B29" s="21" t="s">
        <v>32</v>
      </c>
      <c r="C29" s="20" t="s">
        <v>165</v>
      </c>
      <c r="D29" s="17" t="s">
        <v>219</v>
      </c>
      <c r="E29" s="36" t="s">
        <v>228</v>
      </c>
      <c r="F29" s="35">
        <f>SUM(F23:F28)</f>
        <v>107</v>
      </c>
      <c r="G29" s="36"/>
    </row>
    <row r="30" spans="1:7" ht="25.05" customHeight="1">
      <c r="A30" s="20">
        <v>27</v>
      </c>
      <c r="B30" s="21" t="s">
        <v>32</v>
      </c>
      <c r="C30" s="20" t="s">
        <v>165</v>
      </c>
      <c r="D30" s="20" t="s">
        <v>229</v>
      </c>
      <c r="E30" s="22" t="s">
        <v>230</v>
      </c>
      <c r="F30" s="22">
        <v>14</v>
      </c>
      <c r="G30" s="22"/>
    </row>
    <row r="31" spans="1:7" ht="25.05" customHeight="1">
      <c r="A31" s="20">
        <v>28</v>
      </c>
      <c r="B31" s="21" t="s">
        <v>32</v>
      </c>
      <c r="C31" s="20" t="s">
        <v>165</v>
      </c>
      <c r="D31" s="20" t="s">
        <v>229</v>
      </c>
      <c r="E31" s="22" t="s">
        <v>231</v>
      </c>
      <c r="F31" s="22">
        <v>45</v>
      </c>
      <c r="G31" s="22"/>
    </row>
    <row r="32" spans="1:7" ht="25.05" customHeight="1">
      <c r="A32" s="20">
        <v>29</v>
      </c>
      <c r="B32" s="21" t="s">
        <v>32</v>
      </c>
      <c r="C32" s="20" t="s">
        <v>165</v>
      </c>
      <c r="D32" s="20" t="s">
        <v>229</v>
      </c>
      <c r="E32" s="22" t="s">
        <v>412</v>
      </c>
      <c r="F32" s="22">
        <v>40</v>
      </c>
      <c r="G32" s="22"/>
    </row>
    <row r="33" spans="1:7" ht="25.05" customHeight="1">
      <c r="A33" s="20">
        <v>30</v>
      </c>
      <c r="B33" s="21" t="s">
        <v>32</v>
      </c>
      <c r="C33" s="20" t="s">
        <v>165</v>
      </c>
      <c r="D33" s="20" t="s">
        <v>229</v>
      </c>
      <c r="E33" s="22" t="s">
        <v>446</v>
      </c>
      <c r="F33" s="22">
        <v>25</v>
      </c>
      <c r="G33" s="22"/>
    </row>
    <row r="34" spans="1:7" ht="25.05" customHeight="1">
      <c r="A34" s="20">
        <v>31</v>
      </c>
      <c r="B34" s="21" t="s">
        <v>32</v>
      </c>
      <c r="C34" s="20" t="s">
        <v>165</v>
      </c>
      <c r="D34" s="20" t="s">
        <v>229</v>
      </c>
      <c r="E34" s="22" t="s">
        <v>447</v>
      </c>
      <c r="F34" s="22">
        <v>30</v>
      </c>
      <c r="G34" s="22"/>
    </row>
    <row r="35" spans="1:7" ht="25.05" customHeight="1">
      <c r="A35" s="20">
        <v>32</v>
      </c>
      <c r="B35" s="21" t="s">
        <v>32</v>
      </c>
      <c r="C35" s="20" t="s">
        <v>165</v>
      </c>
      <c r="D35" s="20" t="s">
        <v>229</v>
      </c>
      <c r="E35" s="22" t="s">
        <v>448</v>
      </c>
      <c r="F35" s="22">
        <v>20</v>
      </c>
      <c r="G35" s="22"/>
    </row>
    <row r="36" spans="1:7" ht="25.05" customHeight="1">
      <c r="A36" s="20">
        <v>33</v>
      </c>
      <c r="B36" s="21" t="s">
        <v>32</v>
      </c>
      <c r="C36" s="20" t="s">
        <v>165</v>
      </c>
      <c r="D36" s="20" t="s">
        <v>229</v>
      </c>
      <c r="E36" s="22" t="s">
        <v>415</v>
      </c>
      <c r="F36" s="22">
        <v>120</v>
      </c>
      <c r="G36" s="22"/>
    </row>
    <row r="37" spans="1:7" ht="25.05" customHeight="1">
      <c r="A37" s="20">
        <v>34</v>
      </c>
      <c r="B37" s="21" t="s">
        <v>32</v>
      </c>
      <c r="C37" s="20" t="s">
        <v>165</v>
      </c>
      <c r="D37" s="20" t="s">
        <v>229</v>
      </c>
      <c r="E37" s="22" t="s">
        <v>416</v>
      </c>
      <c r="F37" s="22">
        <v>8</v>
      </c>
      <c r="G37" s="22"/>
    </row>
    <row r="38" spans="1:7" ht="25.05" customHeight="1">
      <c r="A38" s="20">
        <v>35</v>
      </c>
      <c r="B38" s="21" t="s">
        <v>32</v>
      </c>
      <c r="C38" s="20" t="s">
        <v>165</v>
      </c>
      <c r="D38" s="20" t="s">
        <v>229</v>
      </c>
      <c r="E38" s="22" t="s">
        <v>417</v>
      </c>
      <c r="F38" s="22">
        <v>10</v>
      </c>
      <c r="G38" s="22"/>
    </row>
    <row r="39" spans="1:7" ht="25.05" customHeight="1">
      <c r="A39" s="20">
        <v>36</v>
      </c>
      <c r="B39" s="21" t="s">
        <v>32</v>
      </c>
      <c r="C39" s="20" t="s">
        <v>165</v>
      </c>
      <c r="D39" s="20" t="s">
        <v>229</v>
      </c>
      <c r="E39" s="22" t="s">
        <v>431</v>
      </c>
      <c r="F39" s="22">
        <v>12</v>
      </c>
      <c r="G39" s="22"/>
    </row>
    <row r="40" spans="1:7" ht="25.05" customHeight="1">
      <c r="A40" s="20">
        <v>37</v>
      </c>
      <c r="B40" s="21" t="s">
        <v>32</v>
      </c>
      <c r="C40" s="20" t="s">
        <v>165</v>
      </c>
      <c r="D40" s="17" t="s">
        <v>219</v>
      </c>
      <c r="E40" s="36" t="s">
        <v>238</v>
      </c>
      <c r="F40" s="35">
        <f>SUM(F30:F39)</f>
        <v>324</v>
      </c>
      <c r="G40" s="36"/>
    </row>
    <row r="41" spans="1:7" ht="25.05" customHeight="1">
      <c r="A41" s="20">
        <v>38</v>
      </c>
      <c r="B41" s="21" t="s">
        <v>32</v>
      </c>
      <c r="C41" s="20" t="s">
        <v>165</v>
      </c>
      <c r="D41" s="20" t="s">
        <v>239</v>
      </c>
      <c r="E41" s="22" t="s">
        <v>240</v>
      </c>
      <c r="F41" s="22">
        <v>70</v>
      </c>
      <c r="G41" s="22"/>
    </row>
    <row r="42" spans="1:7" ht="25.05" customHeight="1">
      <c r="A42" s="20">
        <v>39</v>
      </c>
      <c r="B42" s="21" t="s">
        <v>32</v>
      </c>
      <c r="C42" s="20" t="s">
        <v>165</v>
      </c>
      <c r="D42" s="20" t="s">
        <v>239</v>
      </c>
      <c r="E42" s="22" t="s">
        <v>241</v>
      </c>
      <c r="F42" s="22">
        <v>60</v>
      </c>
      <c r="G42" s="22"/>
    </row>
    <row r="43" spans="1:7" ht="25.05" customHeight="1">
      <c r="A43" s="20">
        <v>40</v>
      </c>
      <c r="B43" s="21" t="s">
        <v>32</v>
      </c>
      <c r="C43" s="20" t="s">
        <v>165</v>
      </c>
      <c r="D43" s="17" t="s">
        <v>219</v>
      </c>
      <c r="E43" s="36" t="s">
        <v>242</v>
      </c>
      <c r="F43" s="36">
        <f>SUM(F41:F42)</f>
        <v>130</v>
      </c>
      <c r="G43" s="36"/>
    </row>
    <row r="44" spans="1:7" ht="25.05" customHeight="1">
      <c r="A44" s="20">
        <v>41</v>
      </c>
      <c r="B44" s="21" t="s">
        <v>32</v>
      </c>
      <c r="C44" s="20" t="s">
        <v>165</v>
      </c>
      <c r="D44" s="20" t="s">
        <v>259</v>
      </c>
      <c r="E44" s="22" t="s">
        <v>449</v>
      </c>
      <c r="F44" s="22">
        <v>10</v>
      </c>
      <c r="G44" s="22"/>
    </row>
    <row r="45" spans="1:7" ht="25.05" customHeight="1">
      <c r="A45" s="20">
        <v>42</v>
      </c>
      <c r="B45" s="21" t="s">
        <v>32</v>
      </c>
      <c r="C45" s="20" t="s">
        <v>165</v>
      </c>
      <c r="D45" s="20" t="s">
        <v>259</v>
      </c>
      <c r="E45" s="28" t="s">
        <v>450</v>
      </c>
      <c r="F45" s="22">
        <v>45</v>
      </c>
      <c r="G45" s="22"/>
    </row>
    <row r="46" spans="1:7" ht="25.05" customHeight="1">
      <c r="A46" s="20">
        <v>43</v>
      </c>
      <c r="B46" s="21" t="s">
        <v>32</v>
      </c>
      <c r="C46" s="20" t="s">
        <v>165</v>
      </c>
      <c r="D46" s="17" t="s">
        <v>219</v>
      </c>
      <c r="E46" s="36" t="s">
        <v>261</v>
      </c>
      <c r="F46" s="36">
        <f>SUM(F44:F45)</f>
        <v>55</v>
      </c>
      <c r="G46" s="36"/>
    </row>
    <row r="47" spans="1:7" ht="25.05" customHeight="1">
      <c r="A47" s="20">
        <v>44</v>
      </c>
      <c r="B47" s="21" t="s">
        <v>32</v>
      </c>
      <c r="C47" s="20" t="s">
        <v>165</v>
      </c>
      <c r="D47" s="20" t="s">
        <v>243</v>
      </c>
      <c r="E47" s="22" t="s">
        <v>451</v>
      </c>
      <c r="F47" s="22">
        <v>11.4</v>
      </c>
      <c r="G47" s="22"/>
    </row>
    <row r="48" spans="1:7" ht="25.05" customHeight="1">
      <c r="A48" s="20">
        <v>45</v>
      </c>
      <c r="B48" s="21" t="s">
        <v>32</v>
      </c>
      <c r="C48" s="20" t="s">
        <v>165</v>
      </c>
      <c r="D48" s="20" t="s">
        <v>243</v>
      </c>
      <c r="E48" s="22" t="s">
        <v>452</v>
      </c>
      <c r="F48" s="22">
        <v>11.4</v>
      </c>
      <c r="G48" s="22"/>
    </row>
    <row r="49" spans="1:7" ht="25.05" customHeight="1">
      <c r="A49" s="20">
        <v>46</v>
      </c>
      <c r="B49" s="21" t="s">
        <v>32</v>
      </c>
      <c r="C49" s="20" t="s">
        <v>165</v>
      </c>
      <c r="D49" s="20" t="s">
        <v>243</v>
      </c>
      <c r="E49" s="22" t="s">
        <v>453</v>
      </c>
      <c r="F49" s="22">
        <v>19.8</v>
      </c>
      <c r="G49" s="22"/>
    </row>
    <row r="50" spans="1:7" ht="25.05" customHeight="1">
      <c r="A50" s="20">
        <v>47</v>
      </c>
      <c r="B50" s="21" t="s">
        <v>32</v>
      </c>
      <c r="C50" s="20" t="s">
        <v>165</v>
      </c>
      <c r="D50" s="20" t="s">
        <v>243</v>
      </c>
      <c r="E50" s="22" t="s">
        <v>423</v>
      </c>
      <c r="F50" s="22">
        <v>2</v>
      </c>
      <c r="G50" s="22"/>
    </row>
    <row r="51" spans="1:7" ht="25.05" customHeight="1">
      <c r="A51" s="20">
        <v>48</v>
      </c>
      <c r="B51" s="21" t="s">
        <v>32</v>
      </c>
      <c r="C51" s="20" t="s">
        <v>165</v>
      </c>
      <c r="D51" s="17" t="s">
        <v>219</v>
      </c>
      <c r="E51" s="36" t="s">
        <v>248</v>
      </c>
      <c r="F51" s="36">
        <f>SUM(F47:F50)</f>
        <v>44.6</v>
      </c>
      <c r="G51" s="36"/>
    </row>
    <row r="52" spans="1:7" ht="25.05" customHeight="1">
      <c r="A52" s="20">
        <v>49</v>
      </c>
      <c r="B52" s="21" t="s">
        <v>32</v>
      </c>
      <c r="C52" s="20" t="s">
        <v>165</v>
      </c>
      <c r="D52" s="20" t="s">
        <v>249</v>
      </c>
      <c r="E52" s="22" t="s">
        <v>281</v>
      </c>
      <c r="F52" s="22">
        <v>10</v>
      </c>
      <c r="G52" s="22"/>
    </row>
    <row r="53" spans="1:7" ht="25.05" customHeight="1">
      <c r="A53" s="20">
        <v>50</v>
      </c>
      <c r="B53" s="21" t="s">
        <v>32</v>
      </c>
      <c r="C53" s="20" t="s">
        <v>165</v>
      </c>
      <c r="D53" s="20" t="s">
        <v>249</v>
      </c>
      <c r="E53" s="22" t="s">
        <v>282</v>
      </c>
      <c r="F53" s="22">
        <v>10</v>
      </c>
      <c r="G53" s="22"/>
    </row>
    <row r="54" spans="1:7" ht="25.05" customHeight="1">
      <c r="A54" s="20">
        <v>51</v>
      </c>
      <c r="B54" s="21" t="s">
        <v>32</v>
      </c>
      <c r="C54" s="20" t="s">
        <v>165</v>
      </c>
      <c r="D54" s="20" t="s">
        <v>249</v>
      </c>
      <c r="E54" s="22" t="s">
        <v>368</v>
      </c>
      <c r="F54" s="22">
        <v>45</v>
      </c>
      <c r="G54" s="22"/>
    </row>
    <row r="55" spans="1:7" ht="25.05" customHeight="1">
      <c r="A55" s="20">
        <v>52</v>
      </c>
      <c r="B55" s="21" t="s">
        <v>32</v>
      </c>
      <c r="C55" s="20" t="s">
        <v>165</v>
      </c>
      <c r="D55" s="20" t="s">
        <v>249</v>
      </c>
      <c r="E55" s="22" t="s">
        <v>284</v>
      </c>
      <c r="F55" s="22">
        <v>10</v>
      </c>
      <c r="G55" s="22"/>
    </row>
    <row r="56" spans="1:7" ht="25.05" customHeight="1">
      <c r="A56" s="20">
        <v>53</v>
      </c>
      <c r="B56" s="21" t="s">
        <v>32</v>
      </c>
      <c r="C56" s="20" t="s">
        <v>165</v>
      </c>
      <c r="D56" s="20" t="s">
        <v>249</v>
      </c>
      <c r="E56" s="22" t="s">
        <v>454</v>
      </c>
      <c r="F56" s="22">
        <v>10</v>
      </c>
      <c r="G56" s="22"/>
    </row>
    <row r="57" spans="1:7" ht="25.05" customHeight="1">
      <c r="A57" s="20">
        <v>54</v>
      </c>
      <c r="B57" s="21" t="s">
        <v>32</v>
      </c>
      <c r="C57" s="20" t="s">
        <v>165</v>
      </c>
      <c r="D57" s="17" t="s">
        <v>219</v>
      </c>
      <c r="E57" s="36" t="s">
        <v>255</v>
      </c>
      <c r="F57" s="36">
        <f>SUM(F52:F56)</f>
        <v>85</v>
      </c>
      <c r="G57" s="36"/>
    </row>
    <row r="58" spans="1:7" ht="25.05" customHeight="1">
      <c r="A58" s="20">
        <v>55</v>
      </c>
      <c r="B58" s="21" t="s">
        <v>32</v>
      </c>
      <c r="C58" s="20" t="s">
        <v>165</v>
      </c>
      <c r="D58" s="69" t="s">
        <v>256</v>
      </c>
      <c r="E58" s="28" t="s">
        <v>286</v>
      </c>
      <c r="F58" s="22">
        <v>10</v>
      </c>
      <c r="G58" s="22"/>
    </row>
    <row r="59" spans="1:7" ht="25.05" customHeight="1">
      <c r="A59" s="20">
        <v>56</v>
      </c>
      <c r="B59" s="21" t="s">
        <v>32</v>
      </c>
      <c r="C59" s="20" t="s">
        <v>165</v>
      </c>
      <c r="D59" s="17" t="s">
        <v>219</v>
      </c>
      <c r="E59" s="36" t="s">
        <v>258</v>
      </c>
      <c r="F59" s="36">
        <f>SUM(F58)</f>
        <v>10</v>
      </c>
      <c r="G59" s="36"/>
    </row>
    <row r="60" spans="1:7" ht="25.05" customHeight="1">
      <c r="A60" s="20">
        <v>57</v>
      </c>
      <c r="B60" s="21" t="s">
        <v>32</v>
      </c>
      <c r="C60" s="20" t="s">
        <v>165</v>
      </c>
      <c r="D60" s="20" t="s">
        <v>262</v>
      </c>
      <c r="E60" s="22" t="s">
        <v>425</v>
      </c>
      <c r="F60" s="22">
        <v>255</v>
      </c>
      <c r="G60" s="22"/>
    </row>
    <row r="61" spans="1:7" ht="25.05" customHeight="1">
      <c r="A61" s="20">
        <v>58</v>
      </c>
      <c r="B61" s="21" t="s">
        <v>32</v>
      </c>
      <c r="C61" s="20" t="s">
        <v>165</v>
      </c>
      <c r="D61" s="20" t="s">
        <v>262</v>
      </c>
      <c r="E61" s="22" t="s">
        <v>264</v>
      </c>
      <c r="F61" s="22">
        <v>40</v>
      </c>
      <c r="G61" s="22"/>
    </row>
    <row r="62" spans="1:7" ht="25.05" customHeight="1">
      <c r="A62" s="20">
        <v>59</v>
      </c>
      <c r="B62" s="21" t="s">
        <v>32</v>
      </c>
      <c r="C62" s="20" t="s">
        <v>165</v>
      </c>
      <c r="D62" s="20" t="s">
        <v>262</v>
      </c>
      <c r="E62" s="22" t="s">
        <v>265</v>
      </c>
      <c r="F62" s="22">
        <v>40</v>
      </c>
      <c r="G62" s="22"/>
    </row>
    <row r="63" spans="1:7" ht="25.05" customHeight="1">
      <c r="A63" s="20">
        <v>60</v>
      </c>
      <c r="B63" s="21" t="s">
        <v>32</v>
      </c>
      <c r="C63" s="20" t="s">
        <v>165</v>
      </c>
      <c r="D63" s="17" t="s">
        <v>219</v>
      </c>
      <c r="E63" s="36" t="s">
        <v>266</v>
      </c>
      <c r="F63" s="36">
        <f>SUM(F60:F62)</f>
        <v>335</v>
      </c>
      <c r="G63" s="36"/>
    </row>
    <row r="64" spans="1:7" ht="25.05" customHeight="1">
      <c r="A64" s="20">
        <v>61</v>
      </c>
      <c r="B64" s="21" t="s">
        <v>32</v>
      </c>
      <c r="C64" s="20" t="s">
        <v>165</v>
      </c>
      <c r="D64" s="17" t="s">
        <v>267</v>
      </c>
      <c r="E64" s="35" t="s">
        <v>910</v>
      </c>
      <c r="F64" s="35">
        <v>1856</v>
      </c>
      <c r="G64" s="36"/>
    </row>
    <row r="65" spans="1:7" ht="25.05" customHeight="1">
      <c r="A65" s="231" t="s">
        <v>891</v>
      </c>
      <c r="B65" s="232"/>
      <c r="C65" s="232"/>
      <c r="D65" s="232"/>
      <c r="E65" s="232"/>
      <c r="F65" s="232"/>
      <c r="G65" s="233"/>
    </row>
  </sheetData>
  <autoFilter ref="A3:G65" xr:uid="{00000000-0009-0000-0000-000035000000}"/>
  <mergeCells count="3">
    <mergeCell ref="A1:G1"/>
    <mergeCell ref="A2:G2"/>
    <mergeCell ref="A65:G65"/>
  </mergeCells>
  <phoneticPr fontId="23" type="noConversion"/>
  <pageMargins left="0.31496062992126" right="0.196850393700787" top="0.26" bottom="0.53" header="0.25" footer="0.27559055118110198"/>
  <pageSetup paperSize="9" orientation="portrait" r:id="rId1"/>
  <headerFooter>
    <oddFooter>&amp;C&amp;8第 &amp;P 页，共 &amp;N 页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53"/>
  <sheetViews>
    <sheetView view="pageBreakPreview" zoomScale="115" zoomScaleNormal="115" workbookViewId="0">
      <selection activeCell="E5" sqref="E5"/>
    </sheetView>
  </sheetViews>
  <sheetFormatPr defaultColWidth="9" defaultRowHeight="15.75"/>
  <cols>
    <col min="1" max="1" width="3.73046875" style="13" customWidth="1"/>
    <col min="2" max="2" width="10.33203125" style="14" customWidth="1"/>
    <col min="3" max="3" width="12.19921875" style="13" customWidth="1"/>
    <col min="4" max="4" width="11.59765625" style="13" customWidth="1"/>
    <col min="5" max="5" width="44.59765625" style="13" customWidth="1"/>
    <col min="6" max="6" width="7" style="15" customWidth="1"/>
    <col min="7" max="7" width="7.53125" style="13" customWidth="1"/>
    <col min="8" max="16384" width="9" style="16"/>
  </cols>
  <sheetData>
    <row r="1" spans="1:7" ht="25.05" customHeight="1">
      <c r="A1" s="215" t="s">
        <v>911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912</v>
      </c>
      <c r="B2" s="241"/>
      <c r="C2" s="241"/>
      <c r="D2" s="241"/>
      <c r="E2" s="241"/>
      <c r="F2" s="241"/>
      <c r="G2" s="241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20">
        <v>1</v>
      </c>
      <c r="B4" s="21" t="s">
        <v>32</v>
      </c>
      <c r="C4" s="20" t="s">
        <v>167</v>
      </c>
      <c r="D4" s="20" t="s">
        <v>209</v>
      </c>
      <c r="E4" s="22" t="s">
        <v>210</v>
      </c>
      <c r="F4" s="23">
        <v>19</v>
      </c>
      <c r="G4" s="22"/>
    </row>
    <row r="5" spans="1:7" ht="25.05" customHeight="1">
      <c r="A5" s="20">
        <v>2</v>
      </c>
      <c r="B5" s="21" t="s">
        <v>32</v>
      </c>
      <c r="C5" s="20" t="s">
        <v>167</v>
      </c>
      <c r="D5" s="20" t="s">
        <v>209</v>
      </c>
      <c r="E5" s="22" t="s">
        <v>211</v>
      </c>
      <c r="F5" s="23">
        <v>15</v>
      </c>
      <c r="G5" s="22"/>
    </row>
    <row r="6" spans="1:7" ht="25.05" customHeight="1">
      <c r="A6" s="20">
        <v>3</v>
      </c>
      <c r="B6" s="21" t="s">
        <v>32</v>
      </c>
      <c r="C6" s="20" t="s">
        <v>167</v>
      </c>
      <c r="D6" s="20" t="s">
        <v>209</v>
      </c>
      <c r="E6" s="22" t="s">
        <v>212</v>
      </c>
      <c r="F6" s="23">
        <v>34</v>
      </c>
      <c r="G6" s="22"/>
    </row>
    <row r="7" spans="1:7" ht="25.05" customHeight="1">
      <c r="A7" s="20">
        <v>4</v>
      </c>
      <c r="B7" s="21" t="s">
        <v>32</v>
      </c>
      <c r="C7" s="20" t="s">
        <v>167</v>
      </c>
      <c r="D7" s="20" t="s">
        <v>209</v>
      </c>
      <c r="E7" s="22" t="s">
        <v>272</v>
      </c>
      <c r="F7" s="23">
        <v>34</v>
      </c>
      <c r="G7" s="22"/>
    </row>
    <row r="8" spans="1:7" ht="25.05" customHeight="1">
      <c r="A8" s="20">
        <v>5</v>
      </c>
      <c r="B8" s="21" t="s">
        <v>32</v>
      </c>
      <c r="C8" s="20" t="s">
        <v>167</v>
      </c>
      <c r="D8" s="20" t="s">
        <v>209</v>
      </c>
      <c r="E8" s="22" t="s">
        <v>214</v>
      </c>
      <c r="F8" s="23">
        <v>26</v>
      </c>
      <c r="G8" s="22"/>
    </row>
    <row r="9" spans="1:7" ht="25.05" customHeight="1">
      <c r="A9" s="20">
        <v>6</v>
      </c>
      <c r="B9" s="21" t="s">
        <v>32</v>
      </c>
      <c r="C9" s="20" t="s">
        <v>167</v>
      </c>
      <c r="D9" s="20" t="s">
        <v>209</v>
      </c>
      <c r="E9" s="22" t="s">
        <v>312</v>
      </c>
      <c r="F9" s="23">
        <v>10</v>
      </c>
      <c r="G9" s="22"/>
    </row>
    <row r="10" spans="1:7" ht="25.05" customHeight="1">
      <c r="A10" s="20">
        <v>7</v>
      </c>
      <c r="B10" s="21" t="s">
        <v>32</v>
      </c>
      <c r="C10" s="20" t="s">
        <v>167</v>
      </c>
      <c r="D10" s="20" t="s">
        <v>209</v>
      </c>
      <c r="E10" s="22" t="s">
        <v>216</v>
      </c>
      <c r="F10" s="23">
        <v>35</v>
      </c>
      <c r="G10" s="22"/>
    </row>
    <row r="11" spans="1:7" ht="25.05" customHeight="1">
      <c r="A11" s="20">
        <v>8</v>
      </c>
      <c r="B11" s="21" t="s">
        <v>32</v>
      </c>
      <c r="C11" s="20" t="s">
        <v>167</v>
      </c>
      <c r="D11" s="20" t="s">
        <v>209</v>
      </c>
      <c r="E11" s="22" t="s">
        <v>292</v>
      </c>
      <c r="F11" s="23">
        <v>12</v>
      </c>
      <c r="G11" s="22"/>
    </row>
    <row r="12" spans="1:7" ht="25.05" customHeight="1">
      <c r="A12" s="20">
        <v>9</v>
      </c>
      <c r="B12" s="21" t="s">
        <v>32</v>
      </c>
      <c r="C12" s="20" t="s">
        <v>167</v>
      </c>
      <c r="D12" s="20" t="s">
        <v>209</v>
      </c>
      <c r="E12" s="22" t="s">
        <v>217</v>
      </c>
      <c r="F12" s="23">
        <v>55</v>
      </c>
      <c r="G12" s="22"/>
    </row>
    <row r="13" spans="1:7" ht="25.05" customHeight="1">
      <c r="A13" s="20">
        <v>10</v>
      </c>
      <c r="B13" s="21" t="s">
        <v>32</v>
      </c>
      <c r="C13" s="20" t="s">
        <v>167</v>
      </c>
      <c r="D13" s="20" t="s">
        <v>209</v>
      </c>
      <c r="E13" s="22" t="s">
        <v>218</v>
      </c>
      <c r="F13" s="23">
        <v>10</v>
      </c>
      <c r="G13" s="22"/>
    </row>
    <row r="14" spans="1:7" ht="25.05" customHeight="1">
      <c r="A14" s="20">
        <v>11</v>
      </c>
      <c r="B14" s="21" t="s">
        <v>32</v>
      </c>
      <c r="C14" s="20" t="s">
        <v>167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7" ht="25.05" customHeight="1">
      <c r="A15" s="20">
        <v>12</v>
      </c>
      <c r="B15" s="21" t="s">
        <v>32</v>
      </c>
      <c r="C15" s="20" t="s">
        <v>167</v>
      </c>
      <c r="D15" s="20" t="s">
        <v>221</v>
      </c>
      <c r="E15" s="22" t="s">
        <v>222</v>
      </c>
      <c r="F15" s="23">
        <v>14</v>
      </c>
      <c r="G15" s="22"/>
    </row>
    <row r="16" spans="1:7" ht="25.05" customHeight="1">
      <c r="A16" s="20">
        <v>13</v>
      </c>
      <c r="B16" s="21" t="s">
        <v>32</v>
      </c>
      <c r="C16" s="20" t="s">
        <v>167</v>
      </c>
      <c r="D16" s="20" t="s">
        <v>221</v>
      </c>
      <c r="E16" s="22" t="s">
        <v>223</v>
      </c>
      <c r="F16" s="23">
        <v>22</v>
      </c>
      <c r="G16" s="22"/>
    </row>
    <row r="17" spans="1:7" ht="25.05" customHeight="1">
      <c r="A17" s="20">
        <v>14</v>
      </c>
      <c r="B17" s="21" t="s">
        <v>32</v>
      </c>
      <c r="C17" s="20" t="s">
        <v>167</v>
      </c>
      <c r="D17" s="20" t="s">
        <v>221</v>
      </c>
      <c r="E17" s="22" t="s">
        <v>224</v>
      </c>
      <c r="F17" s="23">
        <v>9</v>
      </c>
      <c r="G17" s="22"/>
    </row>
    <row r="18" spans="1:7" ht="25.05" customHeight="1">
      <c r="A18" s="20">
        <v>15</v>
      </c>
      <c r="B18" s="21" t="s">
        <v>32</v>
      </c>
      <c r="C18" s="20" t="s">
        <v>167</v>
      </c>
      <c r="D18" s="20" t="s">
        <v>221</v>
      </c>
      <c r="E18" s="22" t="s">
        <v>361</v>
      </c>
      <c r="F18" s="23">
        <v>20</v>
      </c>
      <c r="G18" s="22"/>
    </row>
    <row r="19" spans="1:7" ht="25.05" customHeight="1">
      <c r="A19" s="20">
        <v>16</v>
      </c>
      <c r="B19" s="21" t="s">
        <v>32</v>
      </c>
      <c r="C19" s="20" t="s">
        <v>167</v>
      </c>
      <c r="D19" s="20" t="s">
        <v>221</v>
      </c>
      <c r="E19" s="22" t="s">
        <v>343</v>
      </c>
      <c r="F19" s="23">
        <v>22</v>
      </c>
      <c r="G19" s="22"/>
    </row>
    <row r="20" spans="1:7" ht="25.05" customHeight="1">
      <c r="A20" s="20">
        <v>17</v>
      </c>
      <c r="B20" s="21" t="s">
        <v>32</v>
      </c>
      <c r="C20" s="20" t="s">
        <v>167</v>
      </c>
      <c r="D20" s="20" t="s">
        <v>221</v>
      </c>
      <c r="E20" s="22" t="s">
        <v>362</v>
      </c>
      <c r="F20" s="23">
        <v>20</v>
      </c>
      <c r="G20" s="22"/>
    </row>
    <row r="21" spans="1:7" ht="25.05" customHeight="1">
      <c r="A21" s="20">
        <v>18</v>
      </c>
      <c r="B21" s="21" t="s">
        <v>32</v>
      </c>
      <c r="C21" s="20" t="s">
        <v>167</v>
      </c>
      <c r="D21" s="17" t="s">
        <v>219</v>
      </c>
      <c r="E21" s="36" t="s">
        <v>228</v>
      </c>
      <c r="F21" s="61">
        <f>SUM(F15:F20)</f>
        <v>107</v>
      </c>
      <c r="G21" s="36"/>
    </row>
    <row r="22" spans="1:7" ht="25.05" customHeight="1">
      <c r="A22" s="20">
        <v>19</v>
      </c>
      <c r="B22" s="21" t="s">
        <v>32</v>
      </c>
      <c r="C22" s="20" t="s">
        <v>167</v>
      </c>
      <c r="D22" s="20" t="s">
        <v>229</v>
      </c>
      <c r="E22" s="22" t="s">
        <v>230</v>
      </c>
      <c r="F22" s="23">
        <v>14</v>
      </c>
      <c r="G22" s="22"/>
    </row>
    <row r="23" spans="1:7" ht="25.05" customHeight="1">
      <c r="A23" s="20">
        <v>20</v>
      </c>
      <c r="B23" s="21" t="s">
        <v>32</v>
      </c>
      <c r="C23" s="20" t="s">
        <v>167</v>
      </c>
      <c r="D23" s="20" t="s">
        <v>229</v>
      </c>
      <c r="E23" s="22" t="s">
        <v>231</v>
      </c>
      <c r="F23" s="23">
        <v>32</v>
      </c>
      <c r="G23" s="22"/>
    </row>
    <row r="24" spans="1:7" ht="25.05" customHeight="1">
      <c r="A24" s="20">
        <v>21</v>
      </c>
      <c r="B24" s="21" t="s">
        <v>32</v>
      </c>
      <c r="C24" s="20" t="s">
        <v>167</v>
      </c>
      <c r="D24" s="20" t="s">
        <v>229</v>
      </c>
      <c r="E24" s="22" t="s">
        <v>232</v>
      </c>
      <c r="F24" s="23">
        <v>18</v>
      </c>
      <c r="G24" s="22"/>
    </row>
    <row r="25" spans="1:7" ht="25.05" customHeight="1">
      <c r="A25" s="20">
        <v>22</v>
      </c>
      <c r="B25" s="21" t="s">
        <v>32</v>
      </c>
      <c r="C25" s="20" t="s">
        <v>167</v>
      </c>
      <c r="D25" s="20" t="s">
        <v>229</v>
      </c>
      <c r="E25" s="22" t="s">
        <v>233</v>
      </c>
      <c r="F25" s="23">
        <v>25</v>
      </c>
      <c r="G25" s="22"/>
    </row>
    <row r="26" spans="1:7" ht="25.05" customHeight="1">
      <c r="A26" s="20">
        <v>23</v>
      </c>
      <c r="B26" s="21" t="s">
        <v>32</v>
      </c>
      <c r="C26" s="20" t="s">
        <v>167</v>
      </c>
      <c r="D26" s="20" t="s">
        <v>229</v>
      </c>
      <c r="E26" s="22" t="s">
        <v>234</v>
      </c>
      <c r="F26" s="23">
        <v>19</v>
      </c>
      <c r="G26" s="22"/>
    </row>
    <row r="27" spans="1:7" ht="25.05" customHeight="1">
      <c r="A27" s="20">
        <v>24</v>
      </c>
      <c r="B27" s="21" t="s">
        <v>32</v>
      </c>
      <c r="C27" s="20" t="s">
        <v>167</v>
      </c>
      <c r="D27" s="20" t="s">
        <v>229</v>
      </c>
      <c r="E27" s="22" t="s">
        <v>235</v>
      </c>
      <c r="F27" s="23">
        <v>10</v>
      </c>
      <c r="G27" s="22"/>
    </row>
    <row r="28" spans="1:7" ht="25.05" customHeight="1">
      <c r="A28" s="20">
        <v>25</v>
      </c>
      <c r="B28" s="21" t="s">
        <v>32</v>
      </c>
      <c r="C28" s="20" t="s">
        <v>167</v>
      </c>
      <c r="D28" s="20" t="s">
        <v>229</v>
      </c>
      <c r="E28" s="22" t="s">
        <v>237</v>
      </c>
      <c r="F28" s="23">
        <v>8</v>
      </c>
      <c r="G28" s="22"/>
    </row>
    <row r="29" spans="1:7" ht="25.05" customHeight="1">
      <c r="A29" s="20">
        <v>26</v>
      </c>
      <c r="B29" s="21" t="s">
        <v>32</v>
      </c>
      <c r="C29" s="20" t="s">
        <v>167</v>
      </c>
      <c r="D29" s="17" t="s">
        <v>219</v>
      </c>
      <c r="E29" s="36" t="s">
        <v>238</v>
      </c>
      <c r="F29" s="61">
        <f>SUM(F22:F28)</f>
        <v>126</v>
      </c>
      <c r="G29" s="36"/>
    </row>
    <row r="30" spans="1:7" ht="25.05" customHeight="1">
      <c r="A30" s="20">
        <v>27</v>
      </c>
      <c r="B30" s="21" t="s">
        <v>32</v>
      </c>
      <c r="C30" s="20" t="s">
        <v>167</v>
      </c>
      <c r="D30" s="20" t="s">
        <v>239</v>
      </c>
      <c r="E30" s="22" t="s">
        <v>240</v>
      </c>
      <c r="F30" s="23">
        <v>70</v>
      </c>
      <c r="G30" s="22"/>
    </row>
    <row r="31" spans="1:7" ht="25.05" customHeight="1">
      <c r="A31" s="20">
        <v>28</v>
      </c>
      <c r="B31" s="21" t="s">
        <v>32</v>
      </c>
      <c r="C31" s="20" t="s">
        <v>167</v>
      </c>
      <c r="D31" s="20" t="s">
        <v>239</v>
      </c>
      <c r="E31" s="22" t="s">
        <v>241</v>
      </c>
      <c r="F31" s="23">
        <v>60</v>
      </c>
      <c r="G31" s="22"/>
    </row>
    <row r="32" spans="1:7" ht="25.05" customHeight="1">
      <c r="A32" s="20">
        <v>29</v>
      </c>
      <c r="B32" s="21" t="s">
        <v>32</v>
      </c>
      <c r="C32" s="20" t="s">
        <v>167</v>
      </c>
      <c r="D32" s="17" t="s">
        <v>219</v>
      </c>
      <c r="E32" s="36" t="s">
        <v>242</v>
      </c>
      <c r="F32" s="37">
        <f>SUM(F30:F31)</f>
        <v>130</v>
      </c>
      <c r="G32" s="36"/>
    </row>
    <row r="33" spans="1:7" ht="25.05" customHeight="1">
      <c r="A33" s="20">
        <v>30</v>
      </c>
      <c r="B33" s="21" t="s">
        <v>32</v>
      </c>
      <c r="C33" s="20" t="s">
        <v>167</v>
      </c>
      <c r="D33" s="20" t="s">
        <v>259</v>
      </c>
      <c r="E33" s="22" t="s">
        <v>276</v>
      </c>
      <c r="F33" s="40">
        <v>10</v>
      </c>
      <c r="G33" s="22"/>
    </row>
    <row r="34" spans="1:7" ht="25.05" customHeight="1">
      <c r="A34" s="20">
        <v>31</v>
      </c>
      <c r="B34" s="21" t="s">
        <v>32</v>
      </c>
      <c r="C34" s="20" t="s">
        <v>167</v>
      </c>
      <c r="D34" s="17" t="s">
        <v>219</v>
      </c>
      <c r="E34" s="36" t="s">
        <v>261</v>
      </c>
      <c r="F34" s="37">
        <f>SUM(F33)</f>
        <v>10</v>
      </c>
      <c r="G34" s="36"/>
    </row>
    <row r="35" spans="1:7" ht="25.05" customHeight="1">
      <c r="A35" s="20">
        <v>32</v>
      </c>
      <c r="B35" s="21" t="s">
        <v>32</v>
      </c>
      <c r="C35" s="20" t="s">
        <v>167</v>
      </c>
      <c r="D35" s="22" t="s">
        <v>243</v>
      </c>
      <c r="E35" s="22" t="s">
        <v>349</v>
      </c>
      <c r="F35" s="23">
        <v>8.4</v>
      </c>
      <c r="G35" s="22"/>
    </row>
    <row r="36" spans="1:7" ht="25.05" customHeight="1">
      <c r="A36" s="20">
        <v>33</v>
      </c>
      <c r="B36" s="21" t="s">
        <v>32</v>
      </c>
      <c r="C36" s="20" t="s">
        <v>167</v>
      </c>
      <c r="D36" s="22" t="s">
        <v>243</v>
      </c>
      <c r="E36" s="22" t="s">
        <v>350</v>
      </c>
      <c r="F36" s="23">
        <v>8.4</v>
      </c>
      <c r="G36" s="22"/>
    </row>
    <row r="37" spans="1:7" ht="25.05" customHeight="1">
      <c r="A37" s="20">
        <v>34</v>
      </c>
      <c r="B37" s="21" t="s">
        <v>32</v>
      </c>
      <c r="C37" s="20" t="s">
        <v>167</v>
      </c>
      <c r="D37" s="22" t="s">
        <v>243</v>
      </c>
      <c r="E37" s="22" t="s">
        <v>303</v>
      </c>
      <c r="F37" s="23">
        <v>15.84</v>
      </c>
      <c r="G37" s="22"/>
    </row>
    <row r="38" spans="1:7" ht="25.05" customHeight="1">
      <c r="A38" s="20">
        <v>35</v>
      </c>
      <c r="B38" s="21" t="s">
        <v>32</v>
      </c>
      <c r="C38" s="20" t="s">
        <v>167</v>
      </c>
      <c r="D38" s="22" t="s">
        <v>243</v>
      </c>
      <c r="E38" s="22" t="s">
        <v>247</v>
      </c>
      <c r="F38" s="23">
        <v>2</v>
      </c>
      <c r="G38" s="22"/>
    </row>
    <row r="39" spans="1:7" ht="25.05" customHeight="1">
      <c r="A39" s="20">
        <v>36</v>
      </c>
      <c r="B39" s="21" t="s">
        <v>32</v>
      </c>
      <c r="C39" s="20" t="s">
        <v>167</v>
      </c>
      <c r="D39" s="17" t="s">
        <v>219</v>
      </c>
      <c r="E39" s="36" t="s">
        <v>248</v>
      </c>
      <c r="F39" s="37">
        <f>SUM(F35:F38)</f>
        <v>34.64</v>
      </c>
      <c r="G39" s="36"/>
    </row>
    <row r="40" spans="1:7" ht="25.05" customHeight="1">
      <c r="A40" s="20">
        <v>37</v>
      </c>
      <c r="B40" s="21" t="s">
        <v>32</v>
      </c>
      <c r="C40" s="20" t="s">
        <v>167</v>
      </c>
      <c r="D40" s="20" t="s">
        <v>249</v>
      </c>
      <c r="E40" s="22" t="s">
        <v>366</v>
      </c>
      <c r="F40" s="23">
        <v>10</v>
      </c>
      <c r="G40" s="22"/>
    </row>
    <row r="41" spans="1:7" ht="25.05" customHeight="1">
      <c r="A41" s="20">
        <v>38</v>
      </c>
      <c r="B41" s="21" t="s">
        <v>32</v>
      </c>
      <c r="C41" s="20" t="s">
        <v>167</v>
      </c>
      <c r="D41" s="20" t="s">
        <v>249</v>
      </c>
      <c r="E41" s="22" t="s">
        <v>367</v>
      </c>
      <c r="F41" s="23">
        <v>10</v>
      </c>
      <c r="G41" s="22"/>
    </row>
    <row r="42" spans="1:7" ht="25.05" customHeight="1">
      <c r="A42" s="20">
        <v>39</v>
      </c>
      <c r="B42" s="21" t="s">
        <v>32</v>
      </c>
      <c r="C42" s="20" t="s">
        <v>167</v>
      </c>
      <c r="D42" s="20" t="s">
        <v>249</v>
      </c>
      <c r="E42" s="22" t="s">
        <v>368</v>
      </c>
      <c r="F42" s="23">
        <v>45</v>
      </c>
      <c r="G42" s="22"/>
    </row>
    <row r="43" spans="1:7" ht="25.05" customHeight="1">
      <c r="A43" s="20">
        <v>40</v>
      </c>
      <c r="B43" s="21" t="s">
        <v>32</v>
      </c>
      <c r="C43" s="20" t="s">
        <v>167</v>
      </c>
      <c r="D43" s="20" t="s">
        <v>249</v>
      </c>
      <c r="E43" s="22" t="s">
        <v>369</v>
      </c>
      <c r="F43" s="23">
        <v>10</v>
      </c>
      <c r="G43" s="22"/>
    </row>
    <row r="44" spans="1:7" ht="25.05" customHeight="1">
      <c r="A44" s="20">
        <v>41</v>
      </c>
      <c r="B44" s="21" t="s">
        <v>32</v>
      </c>
      <c r="C44" s="20" t="s">
        <v>167</v>
      </c>
      <c r="D44" s="20" t="s">
        <v>249</v>
      </c>
      <c r="E44" s="22" t="s">
        <v>285</v>
      </c>
      <c r="F44" s="23">
        <v>5</v>
      </c>
      <c r="G44" s="22"/>
    </row>
    <row r="45" spans="1:7" ht="25.05" customHeight="1">
      <c r="A45" s="20">
        <v>42</v>
      </c>
      <c r="B45" s="21" t="s">
        <v>32</v>
      </c>
      <c r="C45" s="20" t="s">
        <v>167</v>
      </c>
      <c r="D45" s="17" t="s">
        <v>219</v>
      </c>
      <c r="E45" s="36" t="s">
        <v>255</v>
      </c>
      <c r="F45" s="37">
        <f>SUM(F40:F44)</f>
        <v>80</v>
      </c>
      <c r="G45" s="36"/>
    </row>
    <row r="46" spans="1:7" ht="25.05" customHeight="1">
      <c r="A46" s="20">
        <v>43</v>
      </c>
      <c r="B46" s="21" t="s">
        <v>32</v>
      </c>
      <c r="C46" s="20" t="s">
        <v>167</v>
      </c>
      <c r="D46" s="69" t="s">
        <v>256</v>
      </c>
      <c r="E46" s="28" t="s">
        <v>286</v>
      </c>
      <c r="F46" s="42">
        <v>10</v>
      </c>
      <c r="G46" s="22"/>
    </row>
    <row r="47" spans="1:7" ht="25.05" customHeight="1">
      <c r="A47" s="20">
        <v>44</v>
      </c>
      <c r="B47" s="21" t="s">
        <v>32</v>
      </c>
      <c r="C47" s="20" t="s">
        <v>167</v>
      </c>
      <c r="D47" s="17" t="s">
        <v>219</v>
      </c>
      <c r="E47" s="36" t="s">
        <v>258</v>
      </c>
      <c r="F47" s="37">
        <f>SUM(F46)</f>
        <v>10</v>
      </c>
      <c r="G47" s="36"/>
    </row>
    <row r="48" spans="1:7" ht="25.05" customHeight="1">
      <c r="A48" s="20">
        <v>45</v>
      </c>
      <c r="B48" s="21" t="s">
        <v>32</v>
      </c>
      <c r="C48" s="20" t="s">
        <v>167</v>
      </c>
      <c r="D48" s="20" t="s">
        <v>262</v>
      </c>
      <c r="E48" s="22" t="s">
        <v>263</v>
      </c>
      <c r="F48" s="23">
        <v>75</v>
      </c>
      <c r="G48" s="22"/>
    </row>
    <row r="49" spans="1:7" ht="25.05" customHeight="1">
      <c r="A49" s="20">
        <v>46</v>
      </c>
      <c r="B49" s="21" t="s">
        <v>32</v>
      </c>
      <c r="C49" s="20" t="s">
        <v>167</v>
      </c>
      <c r="D49" s="20" t="s">
        <v>262</v>
      </c>
      <c r="E49" s="22" t="s">
        <v>264</v>
      </c>
      <c r="F49" s="23">
        <v>40</v>
      </c>
      <c r="G49" s="22"/>
    </row>
    <row r="50" spans="1:7" ht="25.05" customHeight="1">
      <c r="A50" s="20">
        <v>47</v>
      </c>
      <c r="B50" s="21" t="s">
        <v>32</v>
      </c>
      <c r="C50" s="20" t="s">
        <v>167</v>
      </c>
      <c r="D50" s="20" t="s">
        <v>262</v>
      </c>
      <c r="E50" s="22" t="s">
        <v>265</v>
      </c>
      <c r="F50" s="23">
        <v>20</v>
      </c>
      <c r="G50" s="22"/>
    </row>
    <row r="51" spans="1:7" ht="25.05" customHeight="1">
      <c r="A51" s="20">
        <v>48</v>
      </c>
      <c r="B51" s="21" t="s">
        <v>32</v>
      </c>
      <c r="C51" s="20" t="s">
        <v>167</v>
      </c>
      <c r="D51" s="17" t="s">
        <v>219</v>
      </c>
      <c r="E51" s="36" t="s">
        <v>266</v>
      </c>
      <c r="F51" s="37">
        <f>SUM(F48:F50)</f>
        <v>135</v>
      </c>
      <c r="G51" s="36"/>
    </row>
    <row r="52" spans="1:7" ht="25.05" customHeight="1">
      <c r="A52" s="20">
        <v>49</v>
      </c>
      <c r="B52" s="21" t="s">
        <v>32</v>
      </c>
      <c r="C52" s="20" t="s">
        <v>167</v>
      </c>
      <c r="D52" s="17" t="s">
        <v>267</v>
      </c>
      <c r="E52" s="35" t="s">
        <v>913</v>
      </c>
      <c r="F52" s="35">
        <v>883</v>
      </c>
      <c r="G52" s="36"/>
    </row>
    <row r="53" spans="1:7" ht="25.05" customHeight="1">
      <c r="A53" s="240" t="s">
        <v>914</v>
      </c>
      <c r="B53" s="240"/>
      <c r="C53" s="240"/>
      <c r="D53" s="240"/>
      <c r="E53" s="240"/>
      <c r="F53" s="240"/>
      <c r="G53" s="240"/>
    </row>
  </sheetData>
  <autoFilter ref="A3:G53" xr:uid="{00000000-0009-0000-0000-000036000000}"/>
  <mergeCells count="3">
    <mergeCell ref="A1:G1"/>
    <mergeCell ref="A2:G2"/>
    <mergeCell ref="A53:G53"/>
  </mergeCells>
  <phoneticPr fontId="23" type="noConversion"/>
  <pageMargins left="0.59055118110236204" right="0.15" top="0.35433070866141703" bottom="0.511811023622047" header="0.35433070866141703" footer="0.27559055118110198"/>
  <pageSetup paperSize="9" orientation="portrait" r:id="rId1"/>
  <headerFooter>
    <oddFooter>&amp;C&amp;8第 &amp;P 页，共 &amp;N 页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9"/>
  <sheetViews>
    <sheetView view="pageBreakPreview" zoomScale="115" zoomScaleNormal="145" workbookViewId="0">
      <pane ySplit="3" topLeftCell="A46" activePane="bottomLeft" state="frozen"/>
      <selection pane="bottomLeft" activeCell="E10" sqref="E10"/>
    </sheetView>
  </sheetViews>
  <sheetFormatPr defaultColWidth="9" defaultRowHeight="15.75"/>
  <cols>
    <col min="1" max="1" width="3.73046875" style="13" customWidth="1"/>
    <col min="2" max="2" width="10.33203125" style="14" customWidth="1"/>
    <col min="3" max="3" width="11.796875" style="13" customWidth="1"/>
    <col min="4" max="4" width="11.9296875" style="13" customWidth="1"/>
    <col min="5" max="5" width="43.53125" style="13" customWidth="1"/>
    <col min="6" max="6" width="7.46484375" style="15" customWidth="1"/>
    <col min="7" max="7" width="7.53125" style="31" customWidth="1"/>
    <col min="8" max="16384" width="9" style="16"/>
  </cols>
  <sheetData>
    <row r="1" spans="1:7" ht="25.05" customHeight="1">
      <c r="A1" s="215" t="s">
        <v>915</v>
      </c>
      <c r="B1" s="215"/>
      <c r="C1" s="215"/>
      <c r="D1" s="215"/>
      <c r="E1" s="215"/>
      <c r="F1" s="235"/>
      <c r="G1" s="235"/>
    </row>
    <row r="2" spans="1:7" ht="25.05" customHeight="1">
      <c r="A2" s="241" t="s">
        <v>916</v>
      </c>
      <c r="B2" s="241"/>
      <c r="C2" s="241"/>
      <c r="D2" s="241"/>
      <c r="E2" s="241"/>
      <c r="F2" s="241"/>
      <c r="G2" s="241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85" t="s">
        <v>208</v>
      </c>
      <c r="G3" s="3" t="s">
        <v>11</v>
      </c>
    </row>
    <row r="4" spans="1:7" ht="25.05" customHeight="1">
      <c r="A4" s="20">
        <v>1</v>
      </c>
      <c r="B4" s="21" t="s">
        <v>32</v>
      </c>
      <c r="C4" s="20" t="s">
        <v>169</v>
      </c>
      <c r="D4" s="20" t="s">
        <v>209</v>
      </c>
      <c r="E4" s="22" t="s">
        <v>210</v>
      </c>
      <c r="F4" s="23">
        <v>19</v>
      </c>
      <c r="G4" s="20"/>
    </row>
    <row r="5" spans="1:7" ht="25.05" customHeight="1">
      <c r="A5" s="20">
        <v>2</v>
      </c>
      <c r="B5" s="21" t="s">
        <v>32</v>
      </c>
      <c r="C5" s="20" t="s">
        <v>169</v>
      </c>
      <c r="D5" s="20" t="s">
        <v>209</v>
      </c>
      <c r="E5" s="22" t="s">
        <v>211</v>
      </c>
      <c r="F5" s="23">
        <v>15</v>
      </c>
      <c r="G5" s="20"/>
    </row>
    <row r="6" spans="1:7" ht="25.05" customHeight="1">
      <c r="A6" s="20">
        <v>3</v>
      </c>
      <c r="B6" s="21" t="s">
        <v>32</v>
      </c>
      <c r="C6" s="20" t="s">
        <v>169</v>
      </c>
      <c r="D6" s="20" t="s">
        <v>209</v>
      </c>
      <c r="E6" s="22" t="s">
        <v>212</v>
      </c>
      <c r="F6" s="23">
        <v>34</v>
      </c>
      <c r="G6" s="20"/>
    </row>
    <row r="7" spans="1:7" ht="25.05" customHeight="1">
      <c r="A7" s="20">
        <v>4</v>
      </c>
      <c r="B7" s="21" t="s">
        <v>32</v>
      </c>
      <c r="C7" s="20" t="s">
        <v>169</v>
      </c>
      <c r="D7" s="20" t="s">
        <v>209</v>
      </c>
      <c r="E7" s="22" t="s">
        <v>272</v>
      </c>
      <c r="F7" s="23">
        <v>34</v>
      </c>
      <c r="G7" s="20"/>
    </row>
    <row r="8" spans="1:7" ht="25.05" customHeight="1">
      <c r="A8" s="20">
        <v>5</v>
      </c>
      <c r="B8" s="21" t="s">
        <v>32</v>
      </c>
      <c r="C8" s="20" t="s">
        <v>169</v>
      </c>
      <c r="D8" s="20" t="s">
        <v>209</v>
      </c>
      <c r="E8" s="22" t="s">
        <v>214</v>
      </c>
      <c r="F8" s="23">
        <v>26</v>
      </c>
      <c r="G8" s="20"/>
    </row>
    <row r="9" spans="1:7" ht="25.05" customHeight="1">
      <c r="A9" s="20">
        <v>6</v>
      </c>
      <c r="B9" s="21" t="s">
        <v>32</v>
      </c>
      <c r="C9" s="20" t="s">
        <v>169</v>
      </c>
      <c r="D9" s="20" t="s">
        <v>209</v>
      </c>
      <c r="E9" s="22" t="s">
        <v>312</v>
      </c>
      <c r="F9" s="23">
        <v>10</v>
      </c>
      <c r="G9" s="20"/>
    </row>
    <row r="10" spans="1:7" ht="25.05" customHeight="1">
      <c r="A10" s="20">
        <v>7</v>
      </c>
      <c r="B10" s="21" t="s">
        <v>32</v>
      </c>
      <c r="C10" s="20" t="s">
        <v>169</v>
      </c>
      <c r="D10" s="20" t="s">
        <v>209</v>
      </c>
      <c r="E10" s="22" t="s">
        <v>216</v>
      </c>
      <c r="F10" s="23">
        <v>35</v>
      </c>
      <c r="G10" s="20"/>
    </row>
    <row r="11" spans="1:7" ht="25.05" customHeight="1">
      <c r="A11" s="20">
        <v>8</v>
      </c>
      <c r="B11" s="21" t="s">
        <v>32</v>
      </c>
      <c r="C11" s="20" t="s">
        <v>169</v>
      </c>
      <c r="D11" s="20" t="s">
        <v>209</v>
      </c>
      <c r="E11" s="22" t="s">
        <v>292</v>
      </c>
      <c r="F11" s="23">
        <v>12</v>
      </c>
      <c r="G11" s="20"/>
    </row>
    <row r="12" spans="1:7" ht="25.05" customHeight="1">
      <c r="A12" s="20">
        <v>9</v>
      </c>
      <c r="B12" s="21" t="s">
        <v>32</v>
      </c>
      <c r="C12" s="20" t="s">
        <v>169</v>
      </c>
      <c r="D12" s="20" t="s">
        <v>209</v>
      </c>
      <c r="E12" s="22" t="s">
        <v>217</v>
      </c>
      <c r="F12" s="23">
        <v>55</v>
      </c>
      <c r="G12" s="20"/>
    </row>
    <row r="13" spans="1:7" ht="25.05" customHeight="1">
      <c r="A13" s="20">
        <v>10</v>
      </c>
      <c r="B13" s="21" t="s">
        <v>32</v>
      </c>
      <c r="C13" s="20" t="s">
        <v>169</v>
      </c>
      <c r="D13" s="20" t="s">
        <v>209</v>
      </c>
      <c r="E13" s="22" t="s">
        <v>218</v>
      </c>
      <c r="F13" s="23">
        <v>10</v>
      </c>
      <c r="G13" s="20"/>
    </row>
    <row r="14" spans="1:7" ht="25.05" customHeight="1">
      <c r="A14" s="20">
        <v>11</v>
      </c>
      <c r="B14" s="21" t="s">
        <v>32</v>
      </c>
      <c r="C14" s="20" t="s">
        <v>169</v>
      </c>
      <c r="D14" s="17" t="s">
        <v>219</v>
      </c>
      <c r="E14" s="36" t="s">
        <v>220</v>
      </c>
      <c r="F14" s="37">
        <f>SUM(F4:F13)</f>
        <v>250</v>
      </c>
      <c r="G14" s="17"/>
    </row>
    <row r="15" spans="1:7" ht="25.05" customHeight="1">
      <c r="A15" s="20">
        <v>12</v>
      </c>
      <c r="B15" s="21" t="s">
        <v>32</v>
      </c>
      <c r="C15" s="20" t="s">
        <v>169</v>
      </c>
      <c r="D15" s="20" t="s">
        <v>221</v>
      </c>
      <c r="E15" s="22" t="s">
        <v>222</v>
      </c>
      <c r="F15" s="23">
        <v>14</v>
      </c>
      <c r="G15" s="20"/>
    </row>
    <row r="16" spans="1:7" ht="25.05" customHeight="1">
      <c r="A16" s="20">
        <v>13</v>
      </c>
      <c r="B16" s="21" t="s">
        <v>32</v>
      </c>
      <c r="C16" s="20" t="s">
        <v>169</v>
      </c>
      <c r="D16" s="20" t="s">
        <v>221</v>
      </c>
      <c r="E16" s="22" t="s">
        <v>223</v>
      </c>
      <c r="F16" s="23">
        <v>22</v>
      </c>
      <c r="G16" s="20"/>
    </row>
    <row r="17" spans="1:7" ht="25.05" customHeight="1">
      <c r="A17" s="20">
        <v>14</v>
      </c>
      <c r="B17" s="21" t="s">
        <v>32</v>
      </c>
      <c r="C17" s="20" t="s">
        <v>169</v>
      </c>
      <c r="D17" s="20" t="s">
        <v>221</v>
      </c>
      <c r="E17" s="22" t="s">
        <v>224</v>
      </c>
      <c r="F17" s="23">
        <v>9</v>
      </c>
      <c r="G17" s="20"/>
    </row>
    <row r="18" spans="1:7" ht="25.05" customHeight="1">
      <c r="A18" s="20">
        <v>15</v>
      </c>
      <c r="B18" s="21" t="s">
        <v>32</v>
      </c>
      <c r="C18" s="20" t="s">
        <v>169</v>
      </c>
      <c r="D18" s="20" t="s">
        <v>221</v>
      </c>
      <c r="E18" s="22" t="s">
        <v>361</v>
      </c>
      <c r="F18" s="23">
        <v>20</v>
      </c>
      <c r="G18" s="20"/>
    </row>
    <row r="19" spans="1:7" ht="25.05" customHeight="1">
      <c r="A19" s="20">
        <v>16</v>
      </c>
      <c r="B19" s="21" t="s">
        <v>32</v>
      </c>
      <c r="C19" s="20" t="s">
        <v>169</v>
      </c>
      <c r="D19" s="20" t="s">
        <v>221</v>
      </c>
      <c r="E19" s="22" t="s">
        <v>343</v>
      </c>
      <c r="F19" s="23">
        <v>22</v>
      </c>
      <c r="G19" s="20"/>
    </row>
    <row r="20" spans="1:7" ht="25.05" customHeight="1">
      <c r="A20" s="20">
        <v>17</v>
      </c>
      <c r="B20" s="21" t="s">
        <v>32</v>
      </c>
      <c r="C20" s="20" t="s">
        <v>169</v>
      </c>
      <c r="D20" s="20" t="s">
        <v>221</v>
      </c>
      <c r="E20" s="22" t="s">
        <v>362</v>
      </c>
      <c r="F20" s="23">
        <v>20</v>
      </c>
      <c r="G20" s="20"/>
    </row>
    <row r="21" spans="1:7" ht="25.05" customHeight="1">
      <c r="A21" s="20">
        <v>18</v>
      </c>
      <c r="B21" s="21" t="s">
        <v>32</v>
      </c>
      <c r="C21" s="20" t="s">
        <v>169</v>
      </c>
      <c r="D21" s="17" t="s">
        <v>219</v>
      </c>
      <c r="E21" s="36" t="s">
        <v>228</v>
      </c>
      <c r="F21" s="61">
        <f>SUM(F15:F20)</f>
        <v>107</v>
      </c>
      <c r="G21" s="17"/>
    </row>
    <row r="22" spans="1:7" ht="25.05" customHeight="1">
      <c r="A22" s="20">
        <v>19</v>
      </c>
      <c r="B22" s="21" t="s">
        <v>32</v>
      </c>
      <c r="C22" s="20" t="s">
        <v>169</v>
      </c>
      <c r="D22" s="20" t="s">
        <v>229</v>
      </c>
      <c r="E22" s="22" t="s">
        <v>230</v>
      </c>
      <c r="F22" s="23">
        <v>14</v>
      </c>
      <c r="G22" s="20"/>
    </row>
    <row r="23" spans="1:7" ht="25.05" customHeight="1">
      <c r="A23" s="20">
        <v>20</v>
      </c>
      <c r="B23" s="21" t="s">
        <v>32</v>
      </c>
      <c r="C23" s="20" t="s">
        <v>169</v>
      </c>
      <c r="D23" s="20" t="s">
        <v>229</v>
      </c>
      <c r="E23" s="22" t="s">
        <v>231</v>
      </c>
      <c r="F23" s="23">
        <v>32</v>
      </c>
      <c r="G23" s="20"/>
    </row>
    <row r="24" spans="1:7" ht="25.05" customHeight="1">
      <c r="A24" s="20">
        <v>21</v>
      </c>
      <c r="B24" s="21" t="s">
        <v>32</v>
      </c>
      <c r="C24" s="20" t="s">
        <v>169</v>
      </c>
      <c r="D24" s="20" t="s">
        <v>229</v>
      </c>
      <c r="E24" s="22" t="s">
        <v>232</v>
      </c>
      <c r="F24" s="23">
        <v>18</v>
      </c>
      <c r="G24" s="20"/>
    </row>
    <row r="25" spans="1:7" ht="25.05" customHeight="1">
      <c r="A25" s="20">
        <v>22</v>
      </c>
      <c r="B25" s="21" t="s">
        <v>32</v>
      </c>
      <c r="C25" s="20" t="s">
        <v>169</v>
      </c>
      <c r="D25" s="20" t="s">
        <v>229</v>
      </c>
      <c r="E25" s="22" t="s">
        <v>233</v>
      </c>
      <c r="F25" s="23">
        <v>25</v>
      </c>
      <c r="G25" s="20"/>
    </row>
    <row r="26" spans="1:7" ht="25.05" customHeight="1">
      <c r="A26" s="20">
        <v>23</v>
      </c>
      <c r="B26" s="21" t="s">
        <v>32</v>
      </c>
      <c r="C26" s="20" t="s">
        <v>169</v>
      </c>
      <c r="D26" s="20" t="s">
        <v>229</v>
      </c>
      <c r="E26" s="22" t="s">
        <v>234</v>
      </c>
      <c r="F26" s="23">
        <v>19</v>
      </c>
      <c r="G26" s="20"/>
    </row>
    <row r="27" spans="1:7" ht="25.05" customHeight="1">
      <c r="A27" s="20">
        <v>24</v>
      </c>
      <c r="B27" s="21" t="s">
        <v>32</v>
      </c>
      <c r="C27" s="20" t="s">
        <v>169</v>
      </c>
      <c r="D27" s="20" t="s">
        <v>229</v>
      </c>
      <c r="E27" s="22" t="s">
        <v>375</v>
      </c>
      <c r="F27" s="23">
        <v>12</v>
      </c>
      <c r="G27" s="20"/>
    </row>
    <row r="28" spans="1:7" ht="25.05" customHeight="1">
      <c r="A28" s="20">
        <v>25</v>
      </c>
      <c r="B28" s="21" t="s">
        <v>32</v>
      </c>
      <c r="C28" s="20" t="s">
        <v>169</v>
      </c>
      <c r="D28" s="20" t="s">
        <v>229</v>
      </c>
      <c r="E28" s="22" t="s">
        <v>235</v>
      </c>
      <c r="F28" s="23">
        <v>10</v>
      </c>
      <c r="G28" s="20"/>
    </row>
    <row r="29" spans="1:7" ht="25.05" customHeight="1">
      <c r="A29" s="20">
        <v>26</v>
      </c>
      <c r="B29" s="21" t="s">
        <v>32</v>
      </c>
      <c r="C29" s="20" t="s">
        <v>169</v>
      </c>
      <c r="D29" s="20" t="s">
        <v>229</v>
      </c>
      <c r="E29" s="22" t="s">
        <v>237</v>
      </c>
      <c r="F29" s="23">
        <v>8</v>
      </c>
      <c r="G29" s="20"/>
    </row>
    <row r="30" spans="1:7" ht="25.05" customHeight="1">
      <c r="A30" s="20">
        <v>27</v>
      </c>
      <c r="B30" s="21" t="s">
        <v>32</v>
      </c>
      <c r="C30" s="20" t="s">
        <v>169</v>
      </c>
      <c r="D30" s="17" t="s">
        <v>219</v>
      </c>
      <c r="E30" s="36" t="s">
        <v>238</v>
      </c>
      <c r="F30" s="37">
        <f>SUM(F22:F29)</f>
        <v>138</v>
      </c>
      <c r="G30" s="17"/>
    </row>
    <row r="31" spans="1:7" ht="25.05" customHeight="1">
      <c r="A31" s="20">
        <v>28</v>
      </c>
      <c r="B31" s="21" t="s">
        <v>32</v>
      </c>
      <c r="C31" s="20" t="s">
        <v>169</v>
      </c>
      <c r="D31" s="20" t="s">
        <v>239</v>
      </c>
      <c r="E31" s="22" t="s">
        <v>240</v>
      </c>
      <c r="F31" s="23">
        <v>70</v>
      </c>
      <c r="G31" s="20"/>
    </row>
    <row r="32" spans="1:7" ht="25.05" customHeight="1">
      <c r="A32" s="20">
        <v>29</v>
      </c>
      <c r="B32" s="21" t="s">
        <v>32</v>
      </c>
      <c r="C32" s="20" t="s">
        <v>169</v>
      </c>
      <c r="D32" s="20" t="s">
        <v>239</v>
      </c>
      <c r="E32" s="22" t="s">
        <v>241</v>
      </c>
      <c r="F32" s="23">
        <v>60</v>
      </c>
      <c r="G32" s="20"/>
    </row>
    <row r="33" spans="1:7" ht="25.05" customHeight="1">
      <c r="A33" s="20">
        <v>30</v>
      </c>
      <c r="B33" s="21" t="s">
        <v>32</v>
      </c>
      <c r="C33" s="20" t="s">
        <v>169</v>
      </c>
      <c r="D33" s="17" t="s">
        <v>219</v>
      </c>
      <c r="E33" s="36" t="s">
        <v>242</v>
      </c>
      <c r="F33" s="37">
        <f>SUM(F31:F32)</f>
        <v>130</v>
      </c>
      <c r="G33" s="17"/>
    </row>
    <row r="34" spans="1:7" ht="25.05" customHeight="1">
      <c r="A34" s="20">
        <v>31</v>
      </c>
      <c r="B34" s="21" t="s">
        <v>32</v>
      </c>
      <c r="C34" s="20" t="s">
        <v>169</v>
      </c>
      <c r="D34" s="69" t="s">
        <v>259</v>
      </c>
      <c r="E34" s="28" t="s">
        <v>376</v>
      </c>
      <c r="F34" s="22">
        <v>20</v>
      </c>
      <c r="G34" s="20"/>
    </row>
    <row r="35" spans="1:7" ht="25.05" customHeight="1">
      <c r="A35" s="20">
        <v>32</v>
      </c>
      <c r="B35" s="21" t="s">
        <v>32</v>
      </c>
      <c r="C35" s="20" t="s">
        <v>169</v>
      </c>
      <c r="D35" s="69" t="s">
        <v>259</v>
      </c>
      <c r="E35" s="22" t="s">
        <v>276</v>
      </c>
      <c r="F35" s="40">
        <v>10</v>
      </c>
      <c r="G35" s="20"/>
    </row>
    <row r="36" spans="1:7" ht="25.05" customHeight="1">
      <c r="A36" s="20">
        <v>33</v>
      </c>
      <c r="B36" s="21" t="s">
        <v>32</v>
      </c>
      <c r="C36" s="20" t="s">
        <v>169</v>
      </c>
      <c r="D36" s="17" t="s">
        <v>219</v>
      </c>
      <c r="E36" s="36" t="s">
        <v>261</v>
      </c>
      <c r="F36" s="37">
        <f>SUM(F34:F35)</f>
        <v>30</v>
      </c>
      <c r="G36" s="17"/>
    </row>
    <row r="37" spans="1:7" ht="25.05" customHeight="1">
      <c r="A37" s="20">
        <v>34</v>
      </c>
      <c r="B37" s="21" t="s">
        <v>32</v>
      </c>
      <c r="C37" s="20" t="s">
        <v>169</v>
      </c>
      <c r="D37" s="20" t="s">
        <v>243</v>
      </c>
      <c r="E37" s="22" t="s">
        <v>277</v>
      </c>
      <c r="F37" s="23">
        <v>10.199999999999999</v>
      </c>
      <c r="G37" s="20"/>
    </row>
    <row r="38" spans="1:7" ht="25.05" customHeight="1">
      <c r="A38" s="20">
        <v>35</v>
      </c>
      <c r="B38" s="21" t="s">
        <v>32</v>
      </c>
      <c r="C38" s="20" t="s">
        <v>169</v>
      </c>
      <c r="D38" s="20" t="s">
        <v>243</v>
      </c>
      <c r="E38" s="22" t="s">
        <v>278</v>
      </c>
      <c r="F38" s="23">
        <v>10.199999999999999</v>
      </c>
      <c r="G38" s="20"/>
    </row>
    <row r="39" spans="1:7" ht="25.05" customHeight="1">
      <c r="A39" s="20">
        <v>36</v>
      </c>
      <c r="B39" s="21" t="s">
        <v>32</v>
      </c>
      <c r="C39" s="20" t="s">
        <v>169</v>
      </c>
      <c r="D39" s="20" t="s">
        <v>243</v>
      </c>
      <c r="E39" s="22" t="s">
        <v>279</v>
      </c>
      <c r="F39" s="23">
        <v>17.16</v>
      </c>
      <c r="G39" s="20"/>
    </row>
    <row r="40" spans="1:7" ht="25.05" customHeight="1">
      <c r="A40" s="20">
        <v>37</v>
      </c>
      <c r="B40" s="21" t="s">
        <v>32</v>
      </c>
      <c r="C40" s="20" t="s">
        <v>169</v>
      </c>
      <c r="D40" s="20" t="s">
        <v>243</v>
      </c>
      <c r="E40" s="22" t="s">
        <v>247</v>
      </c>
      <c r="F40" s="23">
        <v>2</v>
      </c>
      <c r="G40" s="20"/>
    </row>
    <row r="41" spans="1:7" ht="25.05" customHeight="1">
      <c r="A41" s="20">
        <v>38</v>
      </c>
      <c r="B41" s="21" t="s">
        <v>32</v>
      </c>
      <c r="C41" s="20" t="s">
        <v>169</v>
      </c>
      <c r="D41" s="17" t="s">
        <v>219</v>
      </c>
      <c r="E41" s="36" t="s">
        <v>248</v>
      </c>
      <c r="F41" s="37">
        <f>SUM(F37:F40)</f>
        <v>39.56</v>
      </c>
      <c r="G41" s="17"/>
    </row>
    <row r="42" spans="1:7" ht="25.05" customHeight="1">
      <c r="A42" s="20">
        <v>39</v>
      </c>
      <c r="B42" s="21" t="s">
        <v>32</v>
      </c>
      <c r="C42" s="20" t="s">
        <v>169</v>
      </c>
      <c r="D42" s="20" t="s">
        <v>249</v>
      </c>
      <c r="E42" s="22" t="s">
        <v>366</v>
      </c>
      <c r="F42" s="23">
        <v>10</v>
      </c>
      <c r="G42" s="20"/>
    </row>
    <row r="43" spans="1:7" ht="25.05" customHeight="1">
      <c r="A43" s="20">
        <v>40</v>
      </c>
      <c r="B43" s="21" t="s">
        <v>32</v>
      </c>
      <c r="C43" s="20" t="s">
        <v>169</v>
      </c>
      <c r="D43" s="20" t="s">
        <v>249</v>
      </c>
      <c r="E43" s="22" t="s">
        <v>367</v>
      </c>
      <c r="F43" s="23">
        <v>10</v>
      </c>
      <c r="G43" s="20"/>
    </row>
    <row r="44" spans="1:7" s="47" customFormat="1" ht="29.55" customHeight="1">
      <c r="A44" s="20">
        <v>41</v>
      </c>
      <c r="B44" s="65" t="s">
        <v>32</v>
      </c>
      <c r="C44" s="38" t="s">
        <v>169</v>
      </c>
      <c r="D44" s="38" t="s">
        <v>249</v>
      </c>
      <c r="E44" s="34" t="s">
        <v>865</v>
      </c>
      <c r="F44" s="40">
        <v>0</v>
      </c>
      <c r="G44" s="84" t="s">
        <v>917</v>
      </c>
    </row>
    <row r="45" spans="1:7" s="47" customFormat="1" ht="25.05" customHeight="1">
      <c r="A45" s="20">
        <v>42</v>
      </c>
      <c r="B45" s="65" t="s">
        <v>32</v>
      </c>
      <c r="C45" s="38" t="s">
        <v>169</v>
      </c>
      <c r="D45" s="38" t="s">
        <v>249</v>
      </c>
      <c r="E45" s="34" t="s">
        <v>599</v>
      </c>
      <c r="F45" s="40">
        <v>10</v>
      </c>
      <c r="G45" s="38"/>
    </row>
    <row r="46" spans="1:7" s="47" customFormat="1" ht="25.05" customHeight="1">
      <c r="A46" s="20">
        <v>43</v>
      </c>
      <c r="B46" s="65" t="s">
        <v>32</v>
      </c>
      <c r="C46" s="38" t="s">
        <v>169</v>
      </c>
      <c r="D46" s="38" t="s">
        <v>249</v>
      </c>
      <c r="E46" s="34" t="s">
        <v>600</v>
      </c>
      <c r="F46" s="40">
        <v>40</v>
      </c>
      <c r="G46" s="38"/>
    </row>
    <row r="47" spans="1:7" s="47" customFormat="1" ht="25.05" customHeight="1">
      <c r="A47" s="20">
        <v>44</v>
      </c>
      <c r="B47" s="65" t="s">
        <v>32</v>
      </c>
      <c r="C47" s="38" t="s">
        <v>169</v>
      </c>
      <c r="D47" s="38" t="s">
        <v>249</v>
      </c>
      <c r="E47" s="34" t="s">
        <v>867</v>
      </c>
      <c r="F47" s="40">
        <v>40</v>
      </c>
      <c r="G47" s="38"/>
    </row>
    <row r="48" spans="1:7" s="47" customFormat="1" ht="25.05" customHeight="1">
      <c r="A48" s="20">
        <v>45</v>
      </c>
      <c r="B48" s="65" t="s">
        <v>32</v>
      </c>
      <c r="C48" s="38" t="s">
        <v>169</v>
      </c>
      <c r="D48" s="38" t="s">
        <v>249</v>
      </c>
      <c r="E48" s="34" t="s">
        <v>918</v>
      </c>
      <c r="F48" s="40">
        <v>36</v>
      </c>
      <c r="G48" s="38"/>
    </row>
    <row r="49" spans="1:7" ht="25.05" customHeight="1">
      <c r="A49" s="20">
        <v>46</v>
      </c>
      <c r="B49" s="21" t="s">
        <v>32</v>
      </c>
      <c r="C49" s="20" t="s">
        <v>169</v>
      </c>
      <c r="D49" s="20" t="s">
        <v>249</v>
      </c>
      <c r="E49" s="22" t="s">
        <v>369</v>
      </c>
      <c r="F49" s="23">
        <v>10</v>
      </c>
      <c r="G49" s="20"/>
    </row>
    <row r="50" spans="1:7" ht="25.05" customHeight="1">
      <c r="A50" s="20">
        <v>47</v>
      </c>
      <c r="B50" s="21" t="s">
        <v>32</v>
      </c>
      <c r="C50" s="20" t="s">
        <v>169</v>
      </c>
      <c r="D50" s="20" t="s">
        <v>249</v>
      </c>
      <c r="E50" s="22" t="s">
        <v>285</v>
      </c>
      <c r="F50" s="23">
        <v>5</v>
      </c>
      <c r="G50" s="20"/>
    </row>
    <row r="51" spans="1:7" ht="25.05" customHeight="1">
      <c r="A51" s="20">
        <v>48</v>
      </c>
      <c r="B51" s="21" t="s">
        <v>32</v>
      </c>
      <c r="C51" s="20" t="s">
        <v>169</v>
      </c>
      <c r="D51" s="17" t="s">
        <v>219</v>
      </c>
      <c r="E51" s="36" t="s">
        <v>255</v>
      </c>
      <c r="F51" s="37">
        <f>SUM(F42:F50)</f>
        <v>161</v>
      </c>
      <c r="G51" s="17"/>
    </row>
    <row r="52" spans="1:7" ht="25.05" customHeight="1">
      <c r="A52" s="20">
        <v>49</v>
      </c>
      <c r="B52" s="21" t="s">
        <v>32</v>
      </c>
      <c r="C52" s="20" t="s">
        <v>169</v>
      </c>
      <c r="D52" s="69" t="s">
        <v>256</v>
      </c>
      <c r="E52" s="28" t="s">
        <v>286</v>
      </c>
      <c r="F52" s="42">
        <v>10</v>
      </c>
      <c r="G52" s="20"/>
    </row>
    <row r="53" spans="1:7" ht="25.05" customHeight="1">
      <c r="A53" s="20">
        <v>50</v>
      </c>
      <c r="B53" s="21" t="s">
        <v>32</v>
      </c>
      <c r="C53" s="20" t="s">
        <v>169</v>
      </c>
      <c r="D53" s="17" t="s">
        <v>219</v>
      </c>
      <c r="E53" s="36" t="s">
        <v>258</v>
      </c>
      <c r="F53" s="37">
        <f>SUM(F52)</f>
        <v>10</v>
      </c>
      <c r="G53" s="17"/>
    </row>
    <row r="54" spans="1:7" ht="25.05" customHeight="1">
      <c r="A54" s="20">
        <v>51</v>
      </c>
      <c r="B54" s="21" t="s">
        <v>32</v>
      </c>
      <c r="C54" s="20" t="s">
        <v>169</v>
      </c>
      <c r="D54" s="20" t="s">
        <v>262</v>
      </c>
      <c r="E54" s="22" t="s">
        <v>263</v>
      </c>
      <c r="F54" s="23">
        <v>85</v>
      </c>
      <c r="G54" s="20"/>
    </row>
    <row r="55" spans="1:7" ht="25.05" customHeight="1">
      <c r="A55" s="20">
        <v>52</v>
      </c>
      <c r="B55" s="21" t="s">
        <v>32</v>
      </c>
      <c r="C55" s="20" t="s">
        <v>169</v>
      </c>
      <c r="D55" s="20" t="s">
        <v>262</v>
      </c>
      <c r="E55" s="22" t="s">
        <v>264</v>
      </c>
      <c r="F55" s="23">
        <v>40</v>
      </c>
      <c r="G55" s="20"/>
    </row>
    <row r="56" spans="1:7" ht="25.05" customHeight="1">
      <c r="A56" s="20">
        <v>53</v>
      </c>
      <c r="B56" s="21" t="s">
        <v>32</v>
      </c>
      <c r="C56" s="20" t="s">
        <v>169</v>
      </c>
      <c r="D56" s="20" t="s">
        <v>262</v>
      </c>
      <c r="E56" s="22" t="s">
        <v>265</v>
      </c>
      <c r="F56" s="23">
        <v>20</v>
      </c>
      <c r="G56" s="20"/>
    </row>
    <row r="57" spans="1:7" ht="25.05" customHeight="1">
      <c r="A57" s="20">
        <v>54</v>
      </c>
      <c r="B57" s="21" t="s">
        <v>32</v>
      </c>
      <c r="C57" s="20" t="s">
        <v>169</v>
      </c>
      <c r="D57" s="17" t="s">
        <v>219</v>
      </c>
      <c r="E57" s="36" t="s">
        <v>266</v>
      </c>
      <c r="F57" s="37">
        <f>SUM(F54:F56)</f>
        <v>145</v>
      </c>
      <c r="G57" s="17"/>
    </row>
    <row r="58" spans="1:7" ht="25.05" customHeight="1">
      <c r="A58" s="20">
        <v>55</v>
      </c>
      <c r="B58" s="21" t="s">
        <v>32</v>
      </c>
      <c r="C58" s="20" t="s">
        <v>169</v>
      </c>
      <c r="D58" s="17" t="s">
        <v>267</v>
      </c>
      <c r="E58" s="36" t="s">
        <v>919</v>
      </c>
      <c r="F58" s="36">
        <v>1011</v>
      </c>
      <c r="G58" s="17"/>
    </row>
    <row r="59" spans="1:7" ht="25.05" customHeight="1">
      <c r="A59" s="240" t="s">
        <v>907</v>
      </c>
      <c r="B59" s="240"/>
      <c r="C59" s="240"/>
      <c r="D59" s="240"/>
      <c r="E59" s="240"/>
      <c r="F59" s="240"/>
      <c r="G59" s="240"/>
    </row>
  </sheetData>
  <autoFilter ref="A3:G59" xr:uid="{00000000-0009-0000-0000-000037000000}"/>
  <mergeCells count="3">
    <mergeCell ref="A1:G1"/>
    <mergeCell ref="A2:G2"/>
    <mergeCell ref="A59:G59"/>
  </mergeCells>
  <phoneticPr fontId="23" type="noConversion"/>
  <pageMargins left="0.59055118110236204" right="0.18" top="0.31496062992126" bottom="0.47244094488188998" header="0.31496062992126" footer="0.196850393700787"/>
  <pageSetup paperSize="9" orientation="portrait" r:id="rId1"/>
  <headerFooter>
    <oddFooter>&amp;C&amp;8第 &amp;P 页，共 &amp;N 页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78"/>
  <sheetViews>
    <sheetView view="pageBreakPreview" zoomScale="115" zoomScaleNormal="100" workbookViewId="0">
      <selection activeCell="E11" sqref="E11"/>
    </sheetView>
  </sheetViews>
  <sheetFormatPr defaultColWidth="9" defaultRowHeight="15.75"/>
  <cols>
    <col min="1" max="1" width="4.06640625" style="31" customWidth="1"/>
    <col min="2" max="2" width="8.796875" style="32" customWidth="1"/>
    <col min="3" max="3" width="15.9296875" style="31" customWidth="1"/>
    <col min="4" max="4" width="10.53125" style="31" customWidth="1"/>
    <col min="5" max="5" width="42.9296875" style="13" customWidth="1"/>
    <col min="6" max="6" width="6.53125" style="13" customWidth="1"/>
    <col min="7" max="7" width="7.9296875" style="13" customWidth="1"/>
  </cols>
  <sheetData>
    <row r="1" spans="1:11" ht="25.05" customHeight="1">
      <c r="A1" s="215" t="s">
        <v>920</v>
      </c>
      <c r="B1" s="215"/>
      <c r="C1" s="215"/>
      <c r="D1" s="215"/>
      <c r="E1" s="215"/>
      <c r="F1" s="235"/>
      <c r="G1" s="235"/>
      <c r="H1" s="16"/>
      <c r="I1" s="16"/>
      <c r="J1" s="16"/>
      <c r="K1" s="16"/>
    </row>
    <row r="2" spans="1:11" ht="25.05" customHeight="1">
      <c r="A2" s="241" t="s">
        <v>921</v>
      </c>
      <c r="B2" s="241"/>
      <c r="C2" s="241"/>
      <c r="D2" s="241"/>
      <c r="E2" s="242"/>
      <c r="F2" s="242"/>
      <c r="G2" s="242"/>
      <c r="H2" s="16"/>
      <c r="I2" s="16"/>
      <c r="J2" s="16"/>
      <c r="K2" s="16"/>
    </row>
    <row r="3" spans="1:11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  <c r="H3" s="16"/>
      <c r="I3" s="16"/>
      <c r="J3" s="16"/>
      <c r="K3" s="16"/>
    </row>
    <row r="4" spans="1:11" ht="25.05" customHeight="1">
      <c r="A4" s="20">
        <v>1</v>
      </c>
      <c r="B4" s="21" t="s">
        <v>32</v>
      </c>
      <c r="C4" s="20" t="s">
        <v>171</v>
      </c>
      <c r="D4" s="20" t="s">
        <v>209</v>
      </c>
      <c r="E4" s="22" t="s">
        <v>210</v>
      </c>
      <c r="F4" s="22">
        <v>19</v>
      </c>
      <c r="G4" s="22"/>
      <c r="H4" s="16"/>
      <c r="I4" s="16"/>
      <c r="J4" s="16"/>
      <c r="K4" s="16"/>
    </row>
    <row r="5" spans="1:11" ht="25.05" customHeight="1">
      <c r="A5" s="20">
        <v>2</v>
      </c>
      <c r="B5" s="21" t="s">
        <v>32</v>
      </c>
      <c r="C5" s="20" t="s">
        <v>171</v>
      </c>
      <c r="D5" s="20" t="s">
        <v>209</v>
      </c>
      <c r="E5" s="22" t="s">
        <v>211</v>
      </c>
      <c r="F5" s="22">
        <v>15</v>
      </c>
      <c r="G5" s="22"/>
      <c r="H5" s="16"/>
      <c r="I5" s="16"/>
      <c r="J5" s="16"/>
      <c r="K5" s="16"/>
    </row>
    <row r="6" spans="1:11" ht="25.05" customHeight="1">
      <c r="A6" s="20">
        <v>3</v>
      </c>
      <c r="B6" s="21" t="s">
        <v>32</v>
      </c>
      <c r="C6" s="20" t="s">
        <v>171</v>
      </c>
      <c r="D6" s="20" t="s">
        <v>209</v>
      </c>
      <c r="E6" s="22" t="s">
        <v>212</v>
      </c>
      <c r="F6" s="22">
        <v>34</v>
      </c>
      <c r="G6" s="22"/>
      <c r="H6" s="16"/>
      <c r="I6" s="16"/>
      <c r="J6" s="16"/>
      <c r="K6" s="16"/>
    </row>
    <row r="7" spans="1:11" ht="25.05" customHeight="1">
      <c r="A7" s="20">
        <v>4</v>
      </c>
      <c r="B7" s="21" t="s">
        <v>32</v>
      </c>
      <c r="C7" s="20" t="s">
        <v>171</v>
      </c>
      <c r="D7" s="20" t="s">
        <v>209</v>
      </c>
      <c r="E7" s="22" t="s">
        <v>272</v>
      </c>
      <c r="F7" s="22">
        <v>34</v>
      </c>
      <c r="G7" s="22"/>
      <c r="H7" s="16"/>
      <c r="I7" s="16"/>
      <c r="J7" s="16"/>
      <c r="K7" s="16"/>
    </row>
    <row r="8" spans="1:11" ht="25.05" customHeight="1">
      <c r="A8" s="20">
        <v>5</v>
      </c>
      <c r="B8" s="21" t="s">
        <v>32</v>
      </c>
      <c r="C8" s="20" t="s">
        <v>171</v>
      </c>
      <c r="D8" s="20" t="s">
        <v>209</v>
      </c>
      <c r="E8" s="22" t="s">
        <v>214</v>
      </c>
      <c r="F8" s="22">
        <v>26</v>
      </c>
      <c r="G8" s="22"/>
      <c r="H8" s="16"/>
      <c r="I8" s="16"/>
      <c r="J8" s="16"/>
      <c r="K8" s="16"/>
    </row>
    <row r="9" spans="1:11" ht="25.05" customHeight="1">
      <c r="A9" s="20">
        <v>6</v>
      </c>
      <c r="B9" s="21" t="s">
        <v>32</v>
      </c>
      <c r="C9" s="20" t="s">
        <v>171</v>
      </c>
      <c r="D9" s="20" t="s">
        <v>209</v>
      </c>
      <c r="E9" s="22" t="s">
        <v>312</v>
      </c>
      <c r="F9" s="22">
        <v>10</v>
      </c>
      <c r="G9" s="22"/>
      <c r="H9" s="16"/>
      <c r="I9" s="16"/>
      <c r="J9" s="16"/>
      <c r="K9" s="16"/>
    </row>
    <row r="10" spans="1:11" ht="25.05" customHeight="1">
      <c r="A10" s="20">
        <v>7</v>
      </c>
      <c r="B10" s="21" t="s">
        <v>32</v>
      </c>
      <c r="C10" s="20" t="s">
        <v>171</v>
      </c>
      <c r="D10" s="20" t="s">
        <v>209</v>
      </c>
      <c r="E10" s="22" t="s">
        <v>216</v>
      </c>
      <c r="F10" s="22">
        <v>40</v>
      </c>
      <c r="G10" s="22"/>
      <c r="H10" s="16"/>
      <c r="I10" s="16"/>
      <c r="J10" s="16"/>
      <c r="K10" s="16"/>
    </row>
    <row r="11" spans="1:11" ht="25.05" customHeight="1">
      <c r="A11" s="20">
        <v>8</v>
      </c>
      <c r="B11" s="21" t="s">
        <v>32</v>
      </c>
      <c r="C11" s="20" t="s">
        <v>171</v>
      </c>
      <c r="D11" s="20" t="s">
        <v>209</v>
      </c>
      <c r="E11" s="22" t="s">
        <v>292</v>
      </c>
      <c r="F11" s="22">
        <v>18</v>
      </c>
      <c r="G11" s="22"/>
      <c r="H11" s="16"/>
      <c r="I11" s="16"/>
      <c r="J11" s="16"/>
      <c r="K11" s="16"/>
    </row>
    <row r="12" spans="1:11" ht="25.05" customHeight="1">
      <c r="A12" s="20">
        <v>9</v>
      </c>
      <c r="B12" s="21" t="s">
        <v>32</v>
      </c>
      <c r="C12" s="20" t="s">
        <v>171</v>
      </c>
      <c r="D12" s="20" t="s">
        <v>209</v>
      </c>
      <c r="E12" s="22" t="s">
        <v>217</v>
      </c>
      <c r="F12" s="22">
        <v>55</v>
      </c>
      <c r="G12" s="22"/>
      <c r="H12" s="16"/>
      <c r="I12" s="16"/>
      <c r="J12" s="16"/>
      <c r="K12" s="16"/>
    </row>
    <row r="13" spans="1:11" ht="25.05" customHeight="1">
      <c r="A13" s="20">
        <v>10</v>
      </c>
      <c r="B13" s="21" t="s">
        <v>32</v>
      </c>
      <c r="C13" s="20" t="s">
        <v>171</v>
      </c>
      <c r="D13" s="20" t="s">
        <v>209</v>
      </c>
      <c r="E13" s="22" t="s">
        <v>218</v>
      </c>
      <c r="F13" s="22">
        <v>10</v>
      </c>
      <c r="G13" s="22"/>
      <c r="H13" s="16"/>
      <c r="I13" s="16"/>
      <c r="J13" s="16"/>
      <c r="K13" s="16"/>
    </row>
    <row r="14" spans="1:11" ht="25.05" customHeight="1">
      <c r="A14" s="20">
        <v>11</v>
      </c>
      <c r="B14" s="21" t="s">
        <v>32</v>
      </c>
      <c r="C14" s="20" t="s">
        <v>171</v>
      </c>
      <c r="D14" s="17" t="s">
        <v>219</v>
      </c>
      <c r="E14" s="36" t="s">
        <v>220</v>
      </c>
      <c r="F14" s="36">
        <f>SUM(F4:F13)</f>
        <v>261</v>
      </c>
      <c r="G14" s="36"/>
      <c r="H14" s="16"/>
      <c r="I14" s="16"/>
      <c r="J14" s="16"/>
      <c r="K14" s="16"/>
    </row>
    <row r="15" spans="1:11" ht="25.05" customHeight="1">
      <c r="A15" s="20">
        <v>12</v>
      </c>
      <c r="B15" s="21" t="s">
        <v>32</v>
      </c>
      <c r="C15" s="20" t="s">
        <v>171</v>
      </c>
      <c r="D15" s="20" t="s">
        <v>401</v>
      </c>
      <c r="E15" s="22" t="s">
        <v>402</v>
      </c>
      <c r="F15" s="22">
        <v>34</v>
      </c>
      <c r="G15" s="22"/>
      <c r="H15" s="16"/>
      <c r="I15" s="16"/>
      <c r="J15" s="16"/>
      <c r="K15" s="16"/>
    </row>
    <row r="16" spans="1:11" ht="25.05" customHeight="1">
      <c r="A16" s="20">
        <v>13</v>
      </c>
      <c r="B16" s="21" t="s">
        <v>32</v>
      </c>
      <c r="C16" s="20" t="s">
        <v>171</v>
      </c>
      <c r="D16" s="20" t="s">
        <v>401</v>
      </c>
      <c r="E16" s="22" t="s">
        <v>403</v>
      </c>
      <c r="F16" s="22">
        <v>34</v>
      </c>
      <c r="G16" s="22"/>
      <c r="H16" s="16"/>
      <c r="I16" s="16"/>
      <c r="J16" s="16"/>
      <c r="K16" s="16"/>
    </row>
    <row r="17" spans="1:11" ht="25.05" customHeight="1">
      <c r="A17" s="20">
        <v>14</v>
      </c>
      <c r="B17" s="21" t="s">
        <v>32</v>
      </c>
      <c r="C17" s="20" t="s">
        <v>171</v>
      </c>
      <c r="D17" s="20" t="s">
        <v>401</v>
      </c>
      <c r="E17" s="22" t="s">
        <v>404</v>
      </c>
      <c r="F17" s="22">
        <v>140</v>
      </c>
      <c r="G17" s="22"/>
      <c r="H17" s="16"/>
      <c r="I17" s="16"/>
      <c r="J17" s="16"/>
      <c r="K17" s="16"/>
    </row>
    <row r="18" spans="1:11" ht="25.05" customHeight="1">
      <c r="A18" s="20">
        <v>15</v>
      </c>
      <c r="B18" s="21" t="s">
        <v>32</v>
      </c>
      <c r="C18" s="20" t="s">
        <v>171</v>
      </c>
      <c r="D18" s="20" t="s">
        <v>401</v>
      </c>
      <c r="E18" s="22" t="s">
        <v>405</v>
      </c>
      <c r="F18" s="22">
        <v>60</v>
      </c>
      <c r="G18" s="22"/>
      <c r="H18" s="16"/>
      <c r="I18" s="16"/>
      <c r="J18" s="16"/>
      <c r="K18" s="16"/>
    </row>
    <row r="19" spans="1:11" ht="25.05" customHeight="1">
      <c r="A19" s="20">
        <v>16</v>
      </c>
      <c r="B19" s="21" t="s">
        <v>32</v>
      </c>
      <c r="C19" s="20" t="s">
        <v>171</v>
      </c>
      <c r="D19" s="20" t="s">
        <v>401</v>
      </c>
      <c r="E19" s="22" t="s">
        <v>406</v>
      </c>
      <c r="F19" s="22">
        <v>20</v>
      </c>
      <c r="G19" s="22"/>
      <c r="H19" s="16"/>
      <c r="I19" s="16"/>
      <c r="J19" s="16"/>
      <c r="K19" s="16"/>
    </row>
    <row r="20" spans="1:11" ht="25.05" customHeight="1">
      <c r="A20" s="20">
        <v>17</v>
      </c>
      <c r="B20" s="21" t="s">
        <v>32</v>
      </c>
      <c r="C20" s="20" t="s">
        <v>171</v>
      </c>
      <c r="D20" s="20" t="s">
        <v>401</v>
      </c>
      <c r="E20" s="22" t="s">
        <v>459</v>
      </c>
      <c r="F20" s="22">
        <v>200</v>
      </c>
      <c r="G20" s="22"/>
      <c r="H20" s="72"/>
      <c r="I20" s="16"/>
      <c r="J20" s="16"/>
      <c r="K20" s="16"/>
    </row>
    <row r="21" spans="1:11" ht="25.05" customHeight="1">
      <c r="A21" s="20">
        <v>18</v>
      </c>
      <c r="B21" s="21" t="s">
        <v>32</v>
      </c>
      <c r="C21" s="20" t="s">
        <v>171</v>
      </c>
      <c r="D21" s="20" t="s">
        <v>401</v>
      </c>
      <c r="E21" s="22" t="s">
        <v>460</v>
      </c>
      <c r="F21" s="22">
        <v>16</v>
      </c>
      <c r="G21" s="22"/>
      <c r="H21" s="16"/>
      <c r="I21" s="16"/>
      <c r="J21" s="16"/>
      <c r="K21" s="16"/>
    </row>
    <row r="22" spans="1:11" ht="25.05" customHeight="1">
      <c r="A22" s="20">
        <v>19</v>
      </c>
      <c r="B22" s="21" t="s">
        <v>32</v>
      </c>
      <c r="C22" s="20" t="s">
        <v>171</v>
      </c>
      <c r="D22" s="17" t="s">
        <v>219</v>
      </c>
      <c r="E22" s="36" t="s">
        <v>409</v>
      </c>
      <c r="F22" s="36">
        <f>SUM(F15:F21)</f>
        <v>504</v>
      </c>
      <c r="G22" s="36"/>
      <c r="H22" s="16"/>
      <c r="I22" s="16"/>
      <c r="J22" s="16"/>
      <c r="K22" s="16"/>
    </row>
    <row r="23" spans="1:11" ht="25.05" customHeight="1">
      <c r="A23" s="20">
        <v>20</v>
      </c>
      <c r="B23" s="21" t="s">
        <v>32</v>
      </c>
      <c r="C23" s="20" t="s">
        <v>171</v>
      </c>
      <c r="D23" s="20" t="s">
        <v>221</v>
      </c>
      <c r="E23" s="22" t="s">
        <v>222</v>
      </c>
      <c r="F23" s="22">
        <v>14</v>
      </c>
      <c r="G23" s="22"/>
      <c r="H23" s="16"/>
      <c r="I23" s="16"/>
      <c r="J23" s="16"/>
      <c r="K23" s="16"/>
    </row>
    <row r="24" spans="1:11" ht="25.05" customHeight="1">
      <c r="A24" s="20">
        <v>21</v>
      </c>
      <c r="B24" s="21" t="s">
        <v>32</v>
      </c>
      <c r="C24" s="20" t="s">
        <v>171</v>
      </c>
      <c r="D24" s="20" t="s">
        <v>221</v>
      </c>
      <c r="E24" s="22" t="s">
        <v>461</v>
      </c>
      <c r="F24" s="22">
        <v>22</v>
      </c>
      <c r="G24" s="22"/>
      <c r="H24" s="16"/>
      <c r="I24" s="16"/>
      <c r="J24" s="16"/>
      <c r="K24" s="16"/>
    </row>
    <row r="25" spans="1:11" ht="25.05" customHeight="1">
      <c r="A25" s="20">
        <v>22</v>
      </c>
      <c r="B25" s="21" t="s">
        <v>32</v>
      </c>
      <c r="C25" s="20" t="s">
        <v>171</v>
      </c>
      <c r="D25" s="20" t="s">
        <v>221</v>
      </c>
      <c r="E25" s="22" t="s">
        <v>462</v>
      </c>
      <c r="F25" s="22">
        <v>12</v>
      </c>
      <c r="G25" s="22"/>
      <c r="H25" s="16"/>
      <c r="I25" s="16"/>
      <c r="J25" s="16"/>
      <c r="K25" s="16"/>
    </row>
    <row r="26" spans="1:11" ht="25.05" customHeight="1">
      <c r="A26" s="20">
        <v>23</v>
      </c>
      <c r="B26" s="21" t="s">
        <v>32</v>
      </c>
      <c r="C26" s="20" t="s">
        <v>171</v>
      </c>
      <c r="D26" s="20" t="s">
        <v>221</v>
      </c>
      <c r="E26" s="22" t="s">
        <v>224</v>
      </c>
      <c r="F26" s="22">
        <v>9</v>
      </c>
      <c r="G26" s="22"/>
      <c r="H26" s="16"/>
      <c r="I26" s="16"/>
      <c r="J26" s="16"/>
      <c r="K26" s="16"/>
    </row>
    <row r="27" spans="1:11" ht="25.05" customHeight="1">
      <c r="A27" s="20">
        <v>24</v>
      </c>
      <c r="B27" s="21" t="s">
        <v>32</v>
      </c>
      <c r="C27" s="20" t="s">
        <v>171</v>
      </c>
      <c r="D27" s="20" t="s">
        <v>221</v>
      </c>
      <c r="E27" s="22" t="s">
        <v>225</v>
      </c>
      <c r="F27" s="22">
        <v>20</v>
      </c>
      <c r="G27" s="22"/>
      <c r="H27" s="16"/>
      <c r="I27" s="16"/>
      <c r="J27" s="16"/>
      <c r="K27" s="16"/>
    </row>
    <row r="28" spans="1:11" ht="25.05" customHeight="1">
      <c r="A28" s="20">
        <v>25</v>
      </c>
      <c r="B28" s="21" t="s">
        <v>32</v>
      </c>
      <c r="C28" s="20" t="s">
        <v>171</v>
      </c>
      <c r="D28" s="20" t="s">
        <v>221</v>
      </c>
      <c r="E28" s="22" t="s">
        <v>226</v>
      </c>
      <c r="F28" s="22">
        <v>22</v>
      </c>
      <c r="G28" s="22"/>
      <c r="H28" s="16"/>
      <c r="I28" s="16"/>
      <c r="J28" s="16"/>
      <c r="K28" s="16"/>
    </row>
    <row r="29" spans="1:11" ht="25.05" customHeight="1">
      <c r="A29" s="20">
        <v>26</v>
      </c>
      <c r="B29" s="21" t="s">
        <v>32</v>
      </c>
      <c r="C29" s="20" t="s">
        <v>171</v>
      </c>
      <c r="D29" s="20" t="s">
        <v>221</v>
      </c>
      <c r="E29" s="22" t="s">
        <v>391</v>
      </c>
      <c r="F29" s="22">
        <v>20</v>
      </c>
      <c r="G29" s="22"/>
      <c r="H29" s="16"/>
      <c r="I29" s="16"/>
      <c r="J29" s="16"/>
      <c r="K29" s="16"/>
    </row>
    <row r="30" spans="1:11" ht="25.05" customHeight="1">
      <c r="A30" s="20">
        <v>27</v>
      </c>
      <c r="B30" s="21" t="s">
        <v>32</v>
      </c>
      <c r="C30" s="20" t="s">
        <v>171</v>
      </c>
      <c r="D30" s="17" t="s">
        <v>219</v>
      </c>
      <c r="E30" s="36" t="s">
        <v>228</v>
      </c>
      <c r="F30" s="35">
        <f>SUM(F23:F29)</f>
        <v>119</v>
      </c>
      <c r="G30" s="36"/>
      <c r="H30" s="16"/>
      <c r="I30" s="16"/>
      <c r="J30" s="16"/>
      <c r="K30" s="16"/>
    </row>
    <row r="31" spans="1:11" ht="25.05" customHeight="1">
      <c r="A31" s="20">
        <v>28</v>
      </c>
      <c r="B31" s="21" t="s">
        <v>32</v>
      </c>
      <c r="C31" s="20" t="s">
        <v>171</v>
      </c>
      <c r="D31" s="20" t="s">
        <v>229</v>
      </c>
      <c r="E31" s="22" t="s">
        <v>230</v>
      </c>
      <c r="F31" s="22">
        <v>14</v>
      </c>
      <c r="G31" s="22"/>
      <c r="H31" s="16"/>
      <c r="I31" s="16"/>
      <c r="J31" s="16"/>
      <c r="K31" s="16"/>
    </row>
    <row r="32" spans="1:11" ht="25.05" customHeight="1">
      <c r="A32" s="20">
        <v>29</v>
      </c>
      <c r="B32" s="21" t="s">
        <v>32</v>
      </c>
      <c r="C32" s="20" t="s">
        <v>171</v>
      </c>
      <c r="D32" s="20" t="s">
        <v>229</v>
      </c>
      <c r="E32" s="22" t="s">
        <v>231</v>
      </c>
      <c r="F32" s="22">
        <v>45</v>
      </c>
      <c r="G32" s="22"/>
      <c r="H32" s="16"/>
      <c r="I32" s="16"/>
      <c r="J32" s="16"/>
      <c r="K32" s="16"/>
    </row>
    <row r="33" spans="1:11" ht="25.05" customHeight="1">
      <c r="A33" s="20">
        <v>30</v>
      </c>
      <c r="B33" s="21" t="s">
        <v>32</v>
      </c>
      <c r="C33" s="20" t="s">
        <v>171</v>
      </c>
      <c r="D33" s="20" t="s">
        <v>229</v>
      </c>
      <c r="E33" s="22" t="s">
        <v>385</v>
      </c>
      <c r="F33" s="22">
        <v>18</v>
      </c>
      <c r="G33" s="22"/>
      <c r="H33" s="16"/>
      <c r="I33" s="16"/>
      <c r="J33" s="16"/>
      <c r="K33" s="16"/>
    </row>
    <row r="34" spans="1:11" ht="25.05" customHeight="1">
      <c r="A34" s="20">
        <v>31</v>
      </c>
      <c r="B34" s="21" t="s">
        <v>32</v>
      </c>
      <c r="C34" s="20" t="s">
        <v>171</v>
      </c>
      <c r="D34" s="20" t="s">
        <v>229</v>
      </c>
      <c r="E34" s="22" t="s">
        <v>412</v>
      </c>
      <c r="F34" s="22">
        <v>40</v>
      </c>
      <c r="G34" s="22"/>
      <c r="H34" s="16"/>
      <c r="I34" s="16"/>
      <c r="J34" s="16"/>
      <c r="K34" s="16"/>
    </row>
    <row r="35" spans="1:11" ht="25.05" customHeight="1">
      <c r="A35" s="20">
        <v>32</v>
      </c>
      <c r="B35" s="21" t="s">
        <v>32</v>
      </c>
      <c r="C35" s="20" t="s">
        <v>171</v>
      </c>
      <c r="D35" s="20" t="s">
        <v>229</v>
      </c>
      <c r="E35" s="22" t="s">
        <v>315</v>
      </c>
      <c r="F35" s="22">
        <v>25</v>
      </c>
      <c r="G35" s="22"/>
      <c r="H35" s="16"/>
      <c r="I35" s="16"/>
      <c r="J35" s="16"/>
      <c r="K35" s="16"/>
    </row>
    <row r="36" spans="1:11" ht="25.05" customHeight="1">
      <c r="A36" s="20">
        <v>33</v>
      </c>
      <c r="B36" s="21" t="s">
        <v>32</v>
      </c>
      <c r="C36" s="20" t="s">
        <v>171</v>
      </c>
      <c r="D36" s="20" t="s">
        <v>229</v>
      </c>
      <c r="E36" s="22" t="s">
        <v>888</v>
      </c>
      <c r="F36" s="22">
        <v>30</v>
      </c>
      <c r="G36" s="22"/>
      <c r="H36" s="16"/>
      <c r="I36" s="16"/>
      <c r="J36" s="16"/>
      <c r="K36" s="16"/>
    </row>
    <row r="37" spans="1:11" ht="25.05" customHeight="1">
      <c r="A37" s="20">
        <v>34</v>
      </c>
      <c r="B37" s="21" t="s">
        <v>32</v>
      </c>
      <c r="C37" s="20" t="s">
        <v>171</v>
      </c>
      <c r="D37" s="20" t="s">
        <v>229</v>
      </c>
      <c r="E37" s="22" t="s">
        <v>464</v>
      </c>
      <c r="F37" s="22">
        <v>20</v>
      </c>
      <c r="G37" s="22"/>
      <c r="H37" s="16"/>
      <c r="I37" s="16"/>
      <c r="J37" s="16"/>
      <c r="K37" s="16"/>
    </row>
    <row r="38" spans="1:11" ht="25.05" customHeight="1">
      <c r="A38" s="20">
        <v>35</v>
      </c>
      <c r="B38" s="21" t="s">
        <v>32</v>
      </c>
      <c r="C38" s="20" t="s">
        <v>171</v>
      </c>
      <c r="D38" s="20" t="s">
        <v>229</v>
      </c>
      <c r="E38" s="22" t="s">
        <v>415</v>
      </c>
      <c r="F38" s="22">
        <v>120</v>
      </c>
      <c r="G38" s="22"/>
      <c r="H38" s="16"/>
      <c r="I38" s="16"/>
      <c r="J38" s="16"/>
      <c r="K38" s="16"/>
    </row>
    <row r="39" spans="1:11" ht="25.05" customHeight="1">
      <c r="A39" s="20">
        <v>36</v>
      </c>
      <c r="B39" s="21" t="s">
        <v>32</v>
      </c>
      <c r="C39" s="20" t="s">
        <v>171</v>
      </c>
      <c r="D39" s="20" t="s">
        <v>229</v>
      </c>
      <c r="E39" s="22" t="s">
        <v>416</v>
      </c>
      <c r="F39" s="22">
        <v>8</v>
      </c>
      <c r="G39" s="22"/>
      <c r="H39" s="16"/>
      <c r="I39" s="16"/>
      <c r="J39" s="16"/>
      <c r="K39" s="16"/>
    </row>
    <row r="40" spans="1:11" ht="25.05" customHeight="1">
      <c r="A40" s="20">
        <v>37</v>
      </c>
      <c r="B40" s="21" t="s">
        <v>32</v>
      </c>
      <c r="C40" s="20" t="s">
        <v>171</v>
      </c>
      <c r="D40" s="20" t="s">
        <v>229</v>
      </c>
      <c r="E40" s="22" t="s">
        <v>430</v>
      </c>
      <c r="F40" s="22">
        <v>10</v>
      </c>
      <c r="G40" s="22"/>
      <c r="H40" s="16"/>
      <c r="I40" s="16"/>
      <c r="J40" s="16"/>
      <c r="K40" s="16"/>
    </row>
    <row r="41" spans="1:11" ht="25.05" customHeight="1">
      <c r="A41" s="20">
        <v>38</v>
      </c>
      <c r="B41" s="21" t="s">
        <v>32</v>
      </c>
      <c r="C41" s="20" t="s">
        <v>171</v>
      </c>
      <c r="D41" s="20" t="s">
        <v>229</v>
      </c>
      <c r="E41" s="22" t="s">
        <v>431</v>
      </c>
      <c r="F41" s="22">
        <v>12</v>
      </c>
      <c r="G41" s="22"/>
      <c r="H41" s="16"/>
      <c r="I41" s="16"/>
      <c r="J41" s="16"/>
      <c r="K41" s="16"/>
    </row>
    <row r="42" spans="1:11" ht="25.05" customHeight="1">
      <c r="A42" s="20">
        <v>39</v>
      </c>
      <c r="B42" s="21" t="s">
        <v>32</v>
      </c>
      <c r="C42" s="20" t="s">
        <v>171</v>
      </c>
      <c r="D42" s="17" t="s">
        <v>219</v>
      </c>
      <c r="E42" s="36" t="s">
        <v>238</v>
      </c>
      <c r="F42" s="35">
        <f>SUM(F31:F41)</f>
        <v>342</v>
      </c>
      <c r="G42" s="36"/>
      <c r="H42" s="16"/>
      <c r="I42" s="16"/>
      <c r="J42" s="16"/>
      <c r="K42" s="16"/>
    </row>
    <row r="43" spans="1:11" ht="25.05" customHeight="1">
      <c r="A43" s="20">
        <v>40</v>
      </c>
      <c r="B43" s="21" t="s">
        <v>32</v>
      </c>
      <c r="C43" s="20" t="s">
        <v>171</v>
      </c>
      <c r="D43" s="20" t="s">
        <v>239</v>
      </c>
      <c r="E43" s="22" t="s">
        <v>240</v>
      </c>
      <c r="F43" s="22">
        <v>70</v>
      </c>
      <c r="G43" s="22"/>
      <c r="H43" s="16"/>
      <c r="I43" s="16"/>
      <c r="J43" s="16"/>
      <c r="K43" s="16"/>
    </row>
    <row r="44" spans="1:11" ht="25.05" customHeight="1">
      <c r="A44" s="20">
        <v>41</v>
      </c>
      <c r="B44" s="21" t="s">
        <v>32</v>
      </c>
      <c r="C44" s="20" t="s">
        <v>171</v>
      </c>
      <c r="D44" s="20" t="s">
        <v>239</v>
      </c>
      <c r="E44" s="22" t="s">
        <v>241</v>
      </c>
      <c r="F44" s="22">
        <v>60</v>
      </c>
      <c r="G44" s="22"/>
      <c r="H44" s="16"/>
      <c r="I44" s="16"/>
      <c r="J44" s="16"/>
      <c r="K44" s="16"/>
    </row>
    <row r="45" spans="1:11" ht="25.05" customHeight="1">
      <c r="A45" s="20">
        <v>42</v>
      </c>
      <c r="B45" s="21" t="s">
        <v>32</v>
      </c>
      <c r="C45" s="20" t="s">
        <v>171</v>
      </c>
      <c r="D45" s="17" t="s">
        <v>219</v>
      </c>
      <c r="E45" s="36" t="s">
        <v>242</v>
      </c>
      <c r="F45" s="36">
        <f>SUM(F43:F44)</f>
        <v>130</v>
      </c>
      <c r="G45" s="36"/>
      <c r="H45" s="16"/>
      <c r="I45" s="16"/>
      <c r="J45" s="16"/>
      <c r="K45" s="16"/>
    </row>
    <row r="46" spans="1:11" ht="25.05" customHeight="1">
      <c r="A46" s="20">
        <v>43</v>
      </c>
      <c r="B46" s="21" t="s">
        <v>32</v>
      </c>
      <c r="C46" s="20" t="s">
        <v>171</v>
      </c>
      <c r="D46" s="20" t="s">
        <v>259</v>
      </c>
      <c r="E46" s="22" t="s">
        <v>449</v>
      </c>
      <c r="F46" s="22">
        <v>10</v>
      </c>
      <c r="G46" s="22"/>
      <c r="H46" s="16"/>
      <c r="I46" s="16"/>
      <c r="J46" s="16"/>
      <c r="K46" s="16"/>
    </row>
    <row r="47" spans="1:11" ht="25.05" customHeight="1">
      <c r="A47" s="20">
        <v>44</v>
      </c>
      <c r="B47" s="21" t="s">
        <v>32</v>
      </c>
      <c r="C47" s="20" t="s">
        <v>171</v>
      </c>
      <c r="D47" s="20" t="s">
        <v>259</v>
      </c>
      <c r="E47" s="28" t="s">
        <v>450</v>
      </c>
      <c r="F47" s="22">
        <v>45</v>
      </c>
      <c r="G47" s="22"/>
      <c r="H47" s="16"/>
      <c r="I47" s="16"/>
      <c r="J47" s="16"/>
      <c r="K47" s="16"/>
    </row>
    <row r="48" spans="1:11" ht="25.05" customHeight="1">
      <c r="A48" s="20">
        <v>45</v>
      </c>
      <c r="B48" s="21" t="s">
        <v>32</v>
      </c>
      <c r="C48" s="20" t="s">
        <v>171</v>
      </c>
      <c r="D48" s="17" t="s">
        <v>219</v>
      </c>
      <c r="E48" s="44" t="s">
        <v>261</v>
      </c>
      <c r="F48" s="36">
        <f>SUM(F46:F47)</f>
        <v>55</v>
      </c>
      <c r="G48" s="36"/>
      <c r="H48" s="16"/>
      <c r="I48" s="16"/>
      <c r="J48" s="16"/>
      <c r="K48" s="16"/>
    </row>
    <row r="49" spans="1:11" ht="25.05" customHeight="1">
      <c r="A49" s="20">
        <v>46</v>
      </c>
      <c r="B49" s="21" t="s">
        <v>32</v>
      </c>
      <c r="C49" s="20" t="s">
        <v>171</v>
      </c>
      <c r="D49" s="20" t="s">
        <v>243</v>
      </c>
      <c r="E49" s="22" t="s">
        <v>465</v>
      </c>
      <c r="F49" s="22">
        <v>11.4</v>
      </c>
      <c r="G49" s="22"/>
      <c r="H49" s="16"/>
      <c r="I49" s="16"/>
      <c r="J49" s="16"/>
      <c r="K49" s="16"/>
    </row>
    <row r="50" spans="1:11" ht="25.05" customHeight="1">
      <c r="A50" s="20">
        <v>47</v>
      </c>
      <c r="B50" s="21" t="s">
        <v>32</v>
      </c>
      <c r="C50" s="20" t="s">
        <v>171</v>
      </c>
      <c r="D50" s="20" t="s">
        <v>243</v>
      </c>
      <c r="E50" s="22" t="s">
        <v>466</v>
      </c>
      <c r="F50" s="22">
        <v>11.4</v>
      </c>
      <c r="G50" s="22"/>
      <c r="H50" s="16"/>
      <c r="I50" s="16"/>
      <c r="J50" s="16"/>
      <c r="K50" s="16"/>
    </row>
    <row r="51" spans="1:11" ht="25.05" customHeight="1">
      <c r="A51" s="20">
        <v>48</v>
      </c>
      <c r="B51" s="21" t="s">
        <v>32</v>
      </c>
      <c r="C51" s="20" t="s">
        <v>171</v>
      </c>
      <c r="D51" s="20" t="s">
        <v>243</v>
      </c>
      <c r="E51" s="22" t="s">
        <v>467</v>
      </c>
      <c r="F51" s="22">
        <v>19.8</v>
      </c>
      <c r="G51" s="22"/>
      <c r="H51" s="16"/>
      <c r="I51" s="16"/>
      <c r="J51" s="16"/>
      <c r="K51" s="16"/>
    </row>
    <row r="52" spans="1:11" ht="25.05" customHeight="1">
      <c r="A52" s="20">
        <v>49</v>
      </c>
      <c r="B52" s="21" t="s">
        <v>32</v>
      </c>
      <c r="C52" s="20" t="s">
        <v>171</v>
      </c>
      <c r="D52" s="20" t="s">
        <v>243</v>
      </c>
      <c r="E52" s="22" t="s">
        <v>247</v>
      </c>
      <c r="F52" s="22">
        <v>2</v>
      </c>
      <c r="G52" s="22"/>
      <c r="H52" s="16"/>
      <c r="I52" s="16"/>
      <c r="J52" s="16"/>
      <c r="K52" s="16"/>
    </row>
    <row r="53" spans="1:11" ht="25.05" customHeight="1">
      <c r="A53" s="20">
        <v>50</v>
      </c>
      <c r="B53" s="21" t="s">
        <v>32</v>
      </c>
      <c r="C53" s="20" t="s">
        <v>171</v>
      </c>
      <c r="D53" s="17" t="s">
        <v>219</v>
      </c>
      <c r="E53" s="36" t="s">
        <v>248</v>
      </c>
      <c r="F53" s="36">
        <f>SUM(F49:F52)</f>
        <v>44.6</v>
      </c>
      <c r="G53" s="36"/>
      <c r="H53" s="16"/>
      <c r="I53" s="16"/>
      <c r="J53" s="16"/>
      <c r="K53" s="16"/>
    </row>
    <row r="54" spans="1:11" ht="25.05" customHeight="1">
      <c r="A54" s="20">
        <v>51</v>
      </c>
      <c r="B54" s="21" t="s">
        <v>32</v>
      </c>
      <c r="C54" s="20" t="s">
        <v>171</v>
      </c>
      <c r="D54" s="20" t="s">
        <v>249</v>
      </c>
      <c r="E54" s="22" t="s">
        <v>281</v>
      </c>
      <c r="F54" s="22">
        <v>10</v>
      </c>
      <c r="G54" s="22"/>
      <c r="H54" s="16"/>
      <c r="I54" s="16"/>
      <c r="J54" s="16"/>
      <c r="K54" s="16"/>
    </row>
    <row r="55" spans="1:11" ht="25.05" customHeight="1">
      <c r="A55" s="20">
        <v>52</v>
      </c>
      <c r="B55" s="21" t="s">
        <v>32</v>
      </c>
      <c r="C55" s="20" t="s">
        <v>171</v>
      </c>
      <c r="D55" s="20" t="s">
        <v>249</v>
      </c>
      <c r="E55" s="22" t="s">
        <v>282</v>
      </c>
      <c r="F55" s="22">
        <v>10</v>
      </c>
      <c r="G55" s="22"/>
      <c r="H55" s="16"/>
      <c r="I55" s="16"/>
      <c r="J55" s="16"/>
      <c r="K55" s="16"/>
    </row>
    <row r="56" spans="1:11" ht="32.549999999999997" customHeight="1">
      <c r="A56" s="20">
        <v>53</v>
      </c>
      <c r="B56" s="65" t="s">
        <v>32</v>
      </c>
      <c r="C56" s="20" t="s">
        <v>171</v>
      </c>
      <c r="D56" s="38" t="s">
        <v>249</v>
      </c>
      <c r="E56" s="34" t="s">
        <v>865</v>
      </c>
      <c r="F56" s="40">
        <v>0</v>
      </c>
      <c r="G56" s="84" t="s">
        <v>922</v>
      </c>
      <c r="H56" s="47"/>
      <c r="I56" s="47"/>
      <c r="J56" s="47"/>
      <c r="K56" s="47"/>
    </row>
    <row r="57" spans="1:11" ht="25.05" customHeight="1">
      <c r="A57" s="20">
        <v>54</v>
      </c>
      <c r="B57" s="65" t="s">
        <v>32</v>
      </c>
      <c r="C57" s="20" t="s">
        <v>171</v>
      </c>
      <c r="D57" s="38" t="s">
        <v>249</v>
      </c>
      <c r="E57" s="34" t="s">
        <v>599</v>
      </c>
      <c r="F57" s="40">
        <v>10</v>
      </c>
      <c r="G57" s="34"/>
      <c r="H57" s="47"/>
      <c r="I57" s="47"/>
      <c r="J57" s="47"/>
      <c r="K57" s="47"/>
    </row>
    <row r="58" spans="1:11" ht="25.05" customHeight="1">
      <c r="A58" s="20">
        <v>55</v>
      </c>
      <c r="B58" s="65" t="s">
        <v>32</v>
      </c>
      <c r="C58" s="20" t="s">
        <v>171</v>
      </c>
      <c r="D58" s="38" t="s">
        <v>249</v>
      </c>
      <c r="E58" s="34" t="s">
        <v>600</v>
      </c>
      <c r="F58" s="40">
        <v>40</v>
      </c>
      <c r="G58" s="34"/>
      <c r="H58" s="47"/>
      <c r="I58" s="47"/>
      <c r="J58" s="47"/>
      <c r="K58" s="47"/>
    </row>
    <row r="59" spans="1:11" ht="25.05" customHeight="1">
      <c r="A59" s="20">
        <v>56</v>
      </c>
      <c r="B59" s="65" t="s">
        <v>32</v>
      </c>
      <c r="C59" s="20" t="s">
        <v>171</v>
      </c>
      <c r="D59" s="38" t="s">
        <v>249</v>
      </c>
      <c r="E59" s="34" t="s">
        <v>868</v>
      </c>
      <c r="F59" s="34">
        <v>36</v>
      </c>
      <c r="G59" s="34"/>
      <c r="H59" s="47"/>
      <c r="I59" s="47"/>
      <c r="J59" s="47"/>
      <c r="K59" s="47"/>
    </row>
    <row r="60" spans="1:11" ht="25.05" customHeight="1">
      <c r="A60" s="20">
        <v>57</v>
      </c>
      <c r="B60" s="65" t="s">
        <v>32</v>
      </c>
      <c r="C60" s="20" t="s">
        <v>171</v>
      </c>
      <c r="D60" s="38" t="s">
        <v>249</v>
      </c>
      <c r="E60" s="34" t="s">
        <v>867</v>
      </c>
      <c r="F60" s="40">
        <v>40</v>
      </c>
      <c r="G60" s="34"/>
      <c r="H60" s="47"/>
      <c r="I60" s="47"/>
      <c r="J60" s="47"/>
      <c r="K60" s="47"/>
    </row>
    <row r="61" spans="1:11" ht="25.05" customHeight="1">
      <c r="A61" s="20">
        <v>58</v>
      </c>
      <c r="B61" s="21" t="s">
        <v>32</v>
      </c>
      <c r="C61" s="20" t="s">
        <v>171</v>
      </c>
      <c r="D61" s="20" t="s">
        <v>249</v>
      </c>
      <c r="E61" s="22" t="s">
        <v>284</v>
      </c>
      <c r="F61" s="22">
        <v>10</v>
      </c>
      <c r="G61" s="22"/>
      <c r="H61" s="16"/>
      <c r="I61" s="16"/>
      <c r="J61" s="16"/>
      <c r="K61" s="16"/>
    </row>
    <row r="62" spans="1:11" ht="25.05" customHeight="1">
      <c r="A62" s="20">
        <v>59</v>
      </c>
      <c r="B62" s="21" t="s">
        <v>32</v>
      </c>
      <c r="C62" s="20" t="s">
        <v>171</v>
      </c>
      <c r="D62" s="20" t="s">
        <v>249</v>
      </c>
      <c r="E62" s="22" t="s">
        <v>454</v>
      </c>
      <c r="F62" s="22">
        <v>10</v>
      </c>
      <c r="G62" s="22"/>
      <c r="H62" s="16"/>
      <c r="I62" s="16"/>
      <c r="J62" s="16"/>
      <c r="K62" s="16"/>
    </row>
    <row r="63" spans="1:11" ht="25.05" customHeight="1">
      <c r="A63" s="20">
        <v>60</v>
      </c>
      <c r="B63" s="21" t="s">
        <v>32</v>
      </c>
      <c r="C63" s="20" t="s">
        <v>171</v>
      </c>
      <c r="D63" s="20" t="s">
        <v>249</v>
      </c>
      <c r="E63" s="22" t="s">
        <v>387</v>
      </c>
      <c r="F63" s="22">
        <v>10</v>
      </c>
      <c r="G63" s="22"/>
      <c r="H63" s="16"/>
      <c r="I63" s="16"/>
      <c r="J63" s="16"/>
      <c r="K63" s="16"/>
    </row>
    <row r="64" spans="1:11" ht="25.05" customHeight="1">
      <c r="A64" s="20">
        <v>61</v>
      </c>
      <c r="B64" s="21" t="s">
        <v>32</v>
      </c>
      <c r="C64" s="20" t="s">
        <v>171</v>
      </c>
      <c r="D64" s="17" t="s">
        <v>219</v>
      </c>
      <c r="E64" s="36" t="s">
        <v>255</v>
      </c>
      <c r="F64" s="36">
        <f>SUM(F54:F63)</f>
        <v>176</v>
      </c>
      <c r="G64" s="36"/>
      <c r="H64" s="16"/>
      <c r="I64" s="16"/>
      <c r="J64" s="16"/>
      <c r="K64" s="16"/>
    </row>
    <row r="65" spans="1:11" ht="25.05" customHeight="1">
      <c r="A65" s="20">
        <v>62</v>
      </c>
      <c r="B65" s="21" t="s">
        <v>32</v>
      </c>
      <c r="C65" s="20" t="s">
        <v>171</v>
      </c>
      <c r="D65" s="69" t="s">
        <v>256</v>
      </c>
      <c r="E65" s="28" t="s">
        <v>286</v>
      </c>
      <c r="F65" s="23">
        <v>10</v>
      </c>
      <c r="G65" s="22"/>
      <c r="H65" s="16"/>
      <c r="I65" s="16"/>
      <c r="J65" s="16"/>
      <c r="K65" s="16"/>
    </row>
    <row r="66" spans="1:11" ht="25.05" customHeight="1">
      <c r="A66" s="20">
        <v>63</v>
      </c>
      <c r="B66" s="21" t="s">
        <v>32</v>
      </c>
      <c r="C66" s="20" t="s">
        <v>171</v>
      </c>
      <c r="D66" s="17" t="s">
        <v>219</v>
      </c>
      <c r="E66" s="36" t="s">
        <v>258</v>
      </c>
      <c r="F66" s="36">
        <f>SUM(F65)</f>
        <v>10</v>
      </c>
      <c r="G66" s="36"/>
      <c r="H66" s="16"/>
      <c r="I66" s="16"/>
      <c r="J66" s="16"/>
      <c r="K66" s="16"/>
    </row>
    <row r="67" spans="1:11" ht="25.05" customHeight="1">
      <c r="A67" s="20">
        <v>64</v>
      </c>
      <c r="B67" s="21" t="s">
        <v>32</v>
      </c>
      <c r="C67" s="20" t="s">
        <v>171</v>
      </c>
      <c r="D67" s="20" t="s">
        <v>262</v>
      </c>
      <c r="E67" s="22" t="s">
        <v>425</v>
      </c>
      <c r="F67" s="22">
        <v>255</v>
      </c>
      <c r="G67" s="22"/>
      <c r="H67" s="16"/>
      <c r="I67" s="16"/>
      <c r="J67" s="16"/>
      <c r="K67" s="16"/>
    </row>
    <row r="68" spans="1:11" ht="25.05" customHeight="1">
      <c r="A68" s="20">
        <v>65</v>
      </c>
      <c r="B68" s="21" t="s">
        <v>32</v>
      </c>
      <c r="C68" s="20" t="s">
        <v>171</v>
      </c>
      <c r="D68" s="20" t="s">
        <v>262</v>
      </c>
      <c r="E68" s="22" t="s">
        <v>264</v>
      </c>
      <c r="F68" s="22">
        <v>40</v>
      </c>
      <c r="G68" s="22"/>
      <c r="H68" s="16"/>
      <c r="I68" s="16"/>
      <c r="J68" s="16"/>
      <c r="K68" s="16"/>
    </row>
    <row r="69" spans="1:11" ht="25.05" customHeight="1">
      <c r="A69" s="20">
        <v>66</v>
      </c>
      <c r="B69" s="21" t="s">
        <v>32</v>
      </c>
      <c r="C69" s="20" t="s">
        <v>171</v>
      </c>
      <c r="D69" s="20" t="s">
        <v>262</v>
      </c>
      <c r="E69" s="22" t="s">
        <v>265</v>
      </c>
      <c r="F69" s="22">
        <v>40</v>
      </c>
      <c r="G69" s="22"/>
      <c r="H69" s="16"/>
      <c r="I69" s="16"/>
      <c r="J69" s="16"/>
      <c r="K69" s="16"/>
    </row>
    <row r="70" spans="1:11" ht="25.05" customHeight="1">
      <c r="A70" s="20">
        <v>67</v>
      </c>
      <c r="B70" s="21" t="s">
        <v>32</v>
      </c>
      <c r="C70" s="20" t="s">
        <v>171</v>
      </c>
      <c r="D70" s="17" t="s">
        <v>219</v>
      </c>
      <c r="E70" s="36" t="s">
        <v>266</v>
      </c>
      <c r="F70" s="36">
        <f>SUM(F67:F69)</f>
        <v>335</v>
      </c>
      <c r="G70" s="36"/>
      <c r="H70" s="16"/>
      <c r="I70" s="16"/>
      <c r="J70" s="16"/>
      <c r="K70" s="16"/>
    </row>
    <row r="71" spans="1:11" ht="25.05" customHeight="1">
      <c r="A71" s="20">
        <v>68</v>
      </c>
      <c r="B71" s="21" t="s">
        <v>32</v>
      </c>
      <c r="C71" s="20" t="s">
        <v>171</v>
      </c>
      <c r="D71" s="17" t="s">
        <v>267</v>
      </c>
      <c r="E71" s="36" t="s">
        <v>923</v>
      </c>
      <c r="F71" s="36">
        <v>1977</v>
      </c>
      <c r="G71" s="36"/>
      <c r="H71" s="16"/>
      <c r="I71" s="16"/>
      <c r="J71" s="16"/>
      <c r="K71" s="16"/>
    </row>
    <row r="72" spans="1:11" ht="25.05" customHeight="1">
      <c r="A72" s="240" t="s">
        <v>924</v>
      </c>
      <c r="B72" s="240"/>
      <c r="C72" s="240"/>
      <c r="D72" s="240"/>
      <c r="E72" s="240"/>
      <c r="F72" s="240"/>
      <c r="G72" s="240"/>
      <c r="H72" s="16"/>
      <c r="I72" s="16"/>
      <c r="J72" s="16"/>
      <c r="K72" s="16"/>
    </row>
    <row r="73" spans="1:11">
      <c r="H73" s="16"/>
      <c r="I73" s="16"/>
      <c r="J73" s="16"/>
      <c r="K73" s="16"/>
    </row>
    <row r="74" spans="1:11">
      <c r="H74" s="16"/>
      <c r="I74" s="16"/>
      <c r="J74" s="16"/>
      <c r="K74" s="16"/>
    </row>
    <row r="75" spans="1:11">
      <c r="H75" s="16"/>
      <c r="I75" s="16"/>
      <c r="J75" s="16"/>
      <c r="K75" s="16"/>
    </row>
    <row r="76" spans="1:11">
      <c r="H76" s="16"/>
      <c r="I76" s="16"/>
      <c r="J76" s="16"/>
      <c r="K76" s="16"/>
    </row>
    <row r="77" spans="1:11">
      <c r="H77" s="16"/>
      <c r="I77" s="16"/>
      <c r="J77" s="16"/>
      <c r="K77" s="16"/>
    </row>
    <row r="78" spans="1:11">
      <c r="H78" s="16"/>
      <c r="I78" s="16"/>
      <c r="J78" s="16"/>
      <c r="K78" s="16"/>
    </row>
  </sheetData>
  <autoFilter ref="A3:G72" xr:uid="{00000000-0009-0000-0000-000038000000}"/>
  <mergeCells count="3">
    <mergeCell ref="A1:G1"/>
    <mergeCell ref="A2:G2"/>
    <mergeCell ref="A72:G72"/>
  </mergeCells>
  <phoneticPr fontId="23" type="noConversion"/>
  <pageMargins left="0.59055118110236204" right="0.18" top="0.196850393700787" bottom="0.511811023622047" header="0.196850393700787" footer="0.23622047244094499"/>
  <pageSetup paperSize="9" orientation="portrait" horizontalDpi="1200" verticalDpi="1200" r:id="rId1"/>
  <headerFooter>
    <oddFooter>&amp;C&amp;"宋体,常规"&amp;8第&amp;"Arial,常规" &amp;P &amp;"宋体,常规"页，共&amp;"Arial,常规" &amp;N &amp;"宋体,常规"页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66"/>
  <sheetViews>
    <sheetView view="pageBreakPreview" zoomScaleNormal="130" workbookViewId="0">
      <selection activeCell="G65" sqref="G65"/>
    </sheetView>
  </sheetViews>
  <sheetFormatPr defaultColWidth="9" defaultRowHeight="15.75"/>
  <cols>
    <col min="1" max="1" width="4.06640625" style="1" customWidth="1"/>
    <col min="2" max="2" width="9.46484375" style="2" customWidth="1"/>
    <col min="3" max="3" width="11.73046875" style="1" customWidth="1"/>
    <col min="4" max="4" width="12.53125" style="1" customWidth="1"/>
    <col min="5" max="5" width="42.73046875" style="1" customWidth="1"/>
    <col min="6" max="6" width="8" style="1" customWidth="1"/>
    <col min="7" max="7" width="8.06640625" style="1" customWidth="1"/>
  </cols>
  <sheetData>
    <row r="1" spans="1:7" ht="25.05" customHeight="1">
      <c r="A1" s="215" t="s">
        <v>925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926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173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32</v>
      </c>
      <c r="C5" s="6" t="s">
        <v>173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32</v>
      </c>
      <c r="C6" s="6" t="s">
        <v>173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32</v>
      </c>
      <c r="C7" s="6" t="s">
        <v>173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32</v>
      </c>
      <c r="C8" s="6" t="s">
        <v>173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32</v>
      </c>
      <c r="C9" s="6" t="s">
        <v>173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32</v>
      </c>
      <c r="C10" s="6" t="s">
        <v>173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32</v>
      </c>
      <c r="C11" s="6" t="s">
        <v>173</v>
      </c>
      <c r="D11" s="6" t="s">
        <v>209</v>
      </c>
      <c r="E11" s="8" t="s">
        <v>292</v>
      </c>
      <c r="F11" s="8">
        <v>18</v>
      </c>
      <c r="G11" s="8"/>
    </row>
    <row r="12" spans="1:7" ht="25.05" customHeight="1">
      <c r="A12" s="6">
        <v>9</v>
      </c>
      <c r="B12" s="7" t="s">
        <v>32</v>
      </c>
      <c r="C12" s="6" t="s">
        <v>173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32</v>
      </c>
      <c r="C13" s="6" t="s">
        <v>173</v>
      </c>
      <c r="D13" s="6" t="s">
        <v>209</v>
      </c>
      <c r="E13" s="8" t="s">
        <v>400</v>
      </c>
      <c r="F13" s="8">
        <v>10</v>
      </c>
      <c r="G13" s="8"/>
    </row>
    <row r="14" spans="1:7" ht="25.05" customHeight="1">
      <c r="A14" s="6">
        <v>11</v>
      </c>
      <c r="B14" s="7" t="s">
        <v>32</v>
      </c>
      <c r="C14" s="6" t="s">
        <v>173</v>
      </c>
      <c r="D14" s="3" t="s">
        <v>219</v>
      </c>
      <c r="E14" s="9" t="s">
        <v>220</v>
      </c>
      <c r="F14" s="9">
        <f>SUM(F4:F13)</f>
        <v>261</v>
      </c>
      <c r="G14" s="9"/>
    </row>
    <row r="15" spans="1:7" ht="25.05" customHeight="1">
      <c r="A15" s="6">
        <v>12</v>
      </c>
      <c r="B15" s="7" t="s">
        <v>32</v>
      </c>
      <c r="C15" s="6" t="s">
        <v>173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32</v>
      </c>
      <c r="C16" s="6" t="s">
        <v>173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32</v>
      </c>
      <c r="C17" s="6" t="s">
        <v>173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32</v>
      </c>
      <c r="C18" s="6" t="s">
        <v>173</v>
      </c>
      <c r="D18" s="6" t="s">
        <v>401</v>
      </c>
      <c r="E18" s="8" t="s">
        <v>405</v>
      </c>
      <c r="F18" s="8">
        <v>60</v>
      </c>
      <c r="G18" s="8"/>
    </row>
    <row r="19" spans="1:7" ht="25.05" customHeight="1">
      <c r="A19" s="6">
        <v>16</v>
      </c>
      <c r="B19" s="7" t="s">
        <v>32</v>
      </c>
      <c r="C19" s="6" t="s">
        <v>173</v>
      </c>
      <c r="D19" s="6" t="s">
        <v>401</v>
      </c>
      <c r="E19" s="8" t="s">
        <v>406</v>
      </c>
      <c r="F19" s="8">
        <v>20</v>
      </c>
      <c r="G19" s="8"/>
    </row>
    <row r="20" spans="1:7" ht="25.05" customHeight="1">
      <c r="A20" s="6">
        <v>17</v>
      </c>
      <c r="B20" s="7" t="s">
        <v>32</v>
      </c>
      <c r="C20" s="6" t="s">
        <v>173</v>
      </c>
      <c r="D20" s="6" t="s">
        <v>401</v>
      </c>
      <c r="E20" s="8" t="s">
        <v>407</v>
      </c>
      <c r="F20" s="8">
        <v>200</v>
      </c>
      <c r="G20" s="8"/>
    </row>
    <row r="21" spans="1:7" ht="25.05" customHeight="1">
      <c r="A21" s="6">
        <v>18</v>
      </c>
      <c r="B21" s="7" t="s">
        <v>32</v>
      </c>
      <c r="C21" s="6" t="s">
        <v>173</v>
      </c>
      <c r="D21" s="6" t="s">
        <v>401</v>
      </c>
      <c r="E21" s="8" t="s">
        <v>408</v>
      </c>
      <c r="F21" s="8">
        <v>16</v>
      </c>
      <c r="G21" s="8"/>
    </row>
    <row r="22" spans="1:7" ht="25.05" customHeight="1">
      <c r="A22" s="6">
        <v>19</v>
      </c>
      <c r="B22" s="7" t="s">
        <v>32</v>
      </c>
      <c r="C22" s="6" t="s">
        <v>173</v>
      </c>
      <c r="D22" s="3" t="s">
        <v>219</v>
      </c>
      <c r="E22" s="9" t="s">
        <v>409</v>
      </c>
      <c r="F22" s="9">
        <f>SUM(F15:F21)</f>
        <v>504</v>
      </c>
      <c r="G22" s="9"/>
    </row>
    <row r="23" spans="1:7" ht="25.05" customHeight="1">
      <c r="A23" s="6">
        <v>20</v>
      </c>
      <c r="B23" s="7" t="s">
        <v>32</v>
      </c>
      <c r="C23" s="6" t="s">
        <v>173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32</v>
      </c>
      <c r="C24" s="6" t="s">
        <v>173</v>
      </c>
      <c r="D24" s="6" t="s">
        <v>221</v>
      </c>
      <c r="E24" s="8" t="s">
        <v>223</v>
      </c>
      <c r="F24" s="8">
        <v>22</v>
      </c>
      <c r="G24" s="8"/>
    </row>
    <row r="25" spans="1:7" ht="25.05" customHeight="1">
      <c r="A25" s="6">
        <v>22</v>
      </c>
      <c r="B25" s="7" t="s">
        <v>32</v>
      </c>
      <c r="C25" s="6" t="s">
        <v>173</v>
      </c>
      <c r="D25" s="6" t="s">
        <v>221</v>
      </c>
      <c r="E25" s="8" t="s">
        <v>224</v>
      </c>
      <c r="F25" s="8">
        <v>9</v>
      </c>
      <c r="G25" s="8"/>
    </row>
    <row r="26" spans="1:7" ht="25.05" customHeight="1">
      <c r="A26" s="6">
        <v>23</v>
      </c>
      <c r="B26" s="7" t="s">
        <v>32</v>
      </c>
      <c r="C26" s="6" t="s">
        <v>173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32</v>
      </c>
      <c r="C27" s="6" t="s">
        <v>173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32</v>
      </c>
      <c r="C28" s="6" t="s">
        <v>173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32</v>
      </c>
      <c r="C29" s="6" t="s">
        <v>173</v>
      </c>
      <c r="D29" s="3" t="s">
        <v>219</v>
      </c>
      <c r="E29" s="9" t="s">
        <v>228</v>
      </c>
      <c r="F29" s="10">
        <f>SUM(F23:F28)</f>
        <v>107</v>
      </c>
      <c r="G29" s="9"/>
    </row>
    <row r="30" spans="1:7" ht="25.05" customHeight="1">
      <c r="A30" s="6">
        <v>27</v>
      </c>
      <c r="B30" s="7" t="s">
        <v>32</v>
      </c>
      <c r="C30" s="6" t="s">
        <v>173</v>
      </c>
      <c r="D30" s="6" t="s">
        <v>229</v>
      </c>
      <c r="E30" s="8" t="s">
        <v>230</v>
      </c>
      <c r="F30" s="8">
        <v>14</v>
      </c>
      <c r="G30" s="8"/>
    </row>
    <row r="31" spans="1:7" ht="25.05" customHeight="1">
      <c r="A31" s="6">
        <v>28</v>
      </c>
      <c r="B31" s="7" t="s">
        <v>32</v>
      </c>
      <c r="C31" s="6" t="s">
        <v>173</v>
      </c>
      <c r="D31" s="6" t="s">
        <v>229</v>
      </c>
      <c r="E31" s="8" t="s">
        <v>231</v>
      </c>
      <c r="F31" s="8">
        <v>45</v>
      </c>
      <c r="G31" s="8"/>
    </row>
    <row r="32" spans="1:7" ht="25.05" customHeight="1">
      <c r="A32" s="6">
        <v>29</v>
      </c>
      <c r="B32" s="7" t="s">
        <v>32</v>
      </c>
      <c r="C32" s="6" t="s">
        <v>173</v>
      </c>
      <c r="D32" s="6" t="s">
        <v>229</v>
      </c>
      <c r="E32" s="8" t="s">
        <v>412</v>
      </c>
      <c r="F32" s="8">
        <v>40</v>
      </c>
      <c r="G32" s="8"/>
    </row>
    <row r="33" spans="1:7" ht="25.05" customHeight="1">
      <c r="A33" s="6">
        <v>30</v>
      </c>
      <c r="B33" s="7" t="s">
        <v>32</v>
      </c>
      <c r="C33" s="6" t="s">
        <v>173</v>
      </c>
      <c r="D33" s="6" t="s">
        <v>229</v>
      </c>
      <c r="E33" s="8" t="s">
        <v>446</v>
      </c>
      <c r="F33" s="8">
        <v>25</v>
      </c>
      <c r="G33" s="8"/>
    </row>
    <row r="34" spans="1:7" ht="25.05" customHeight="1">
      <c r="A34" s="6">
        <v>31</v>
      </c>
      <c r="B34" s="7" t="s">
        <v>32</v>
      </c>
      <c r="C34" s="6" t="s">
        <v>173</v>
      </c>
      <c r="D34" s="6" t="s">
        <v>229</v>
      </c>
      <c r="E34" s="8" t="s">
        <v>447</v>
      </c>
      <c r="F34" s="8">
        <v>30</v>
      </c>
      <c r="G34" s="8"/>
    </row>
    <row r="35" spans="1:7" ht="25.05" customHeight="1">
      <c r="A35" s="6">
        <v>32</v>
      </c>
      <c r="B35" s="7" t="s">
        <v>32</v>
      </c>
      <c r="C35" s="6" t="s">
        <v>173</v>
      </c>
      <c r="D35" s="6" t="s">
        <v>229</v>
      </c>
      <c r="E35" s="8" t="s">
        <v>448</v>
      </c>
      <c r="F35" s="8">
        <v>20</v>
      </c>
      <c r="G35" s="8"/>
    </row>
    <row r="36" spans="1:7" ht="25.05" customHeight="1">
      <c r="A36" s="6">
        <v>33</v>
      </c>
      <c r="B36" s="7" t="s">
        <v>32</v>
      </c>
      <c r="C36" s="6" t="s">
        <v>173</v>
      </c>
      <c r="D36" s="6" t="s">
        <v>229</v>
      </c>
      <c r="E36" s="8" t="s">
        <v>415</v>
      </c>
      <c r="F36" s="8">
        <v>120</v>
      </c>
      <c r="G36" s="8"/>
    </row>
    <row r="37" spans="1:7" ht="25.05" customHeight="1">
      <c r="A37" s="6">
        <v>34</v>
      </c>
      <c r="B37" s="7" t="s">
        <v>32</v>
      </c>
      <c r="C37" s="6" t="s">
        <v>173</v>
      </c>
      <c r="D37" s="6" t="s">
        <v>229</v>
      </c>
      <c r="E37" s="8" t="s">
        <v>416</v>
      </c>
      <c r="F37" s="8">
        <v>8</v>
      </c>
      <c r="G37" s="8"/>
    </row>
    <row r="38" spans="1:7" ht="25.05" customHeight="1">
      <c r="A38" s="6">
        <v>35</v>
      </c>
      <c r="B38" s="7" t="s">
        <v>32</v>
      </c>
      <c r="C38" s="6" t="s">
        <v>173</v>
      </c>
      <c r="D38" s="6" t="s">
        <v>229</v>
      </c>
      <c r="E38" s="8" t="s">
        <v>417</v>
      </c>
      <c r="F38" s="8">
        <v>10</v>
      </c>
      <c r="G38" s="8"/>
    </row>
    <row r="39" spans="1:7" ht="25.05" customHeight="1">
      <c r="A39" s="6">
        <v>36</v>
      </c>
      <c r="B39" s="7" t="s">
        <v>32</v>
      </c>
      <c r="C39" s="6" t="s">
        <v>173</v>
      </c>
      <c r="D39" s="6" t="s">
        <v>229</v>
      </c>
      <c r="E39" s="8" t="s">
        <v>431</v>
      </c>
      <c r="F39" s="8">
        <v>12</v>
      </c>
      <c r="G39" s="8"/>
    </row>
    <row r="40" spans="1:7" ht="25.05" customHeight="1">
      <c r="A40" s="6">
        <v>37</v>
      </c>
      <c r="B40" s="7" t="s">
        <v>32</v>
      </c>
      <c r="C40" s="6" t="s">
        <v>173</v>
      </c>
      <c r="D40" s="3" t="s">
        <v>219</v>
      </c>
      <c r="E40" s="9" t="s">
        <v>238</v>
      </c>
      <c r="F40" s="10">
        <f>SUM(F30:F39)</f>
        <v>324</v>
      </c>
      <c r="G40" s="9"/>
    </row>
    <row r="41" spans="1:7" ht="25.05" customHeight="1">
      <c r="A41" s="6">
        <v>38</v>
      </c>
      <c r="B41" s="7" t="s">
        <v>32</v>
      </c>
      <c r="C41" s="6" t="s">
        <v>173</v>
      </c>
      <c r="D41" s="6" t="s">
        <v>239</v>
      </c>
      <c r="E41" s="8" t="s">
        <v>240</v>
      </c>
      <c r="F41" s="8">
        <v>70</v>
      </c>
      <c r="G41" s="8"/>
    </row>
    <row r="42" spans="1:7" ht="25.05" customHeight="1">
      <c r="A42" s="6">
        <v>39</v>
      </c>
      <c r="B42" s="7" t="s">
        <v>32</v>
      </c>
      <c r="C42" s="6" t="s">
        <v>173</v>
      </c>
      <c r="D42" s="6" t="s">
        <v>239</v>
      </c>
      <c r="E42" s="8" t="s">
        <v>241</v>
      </c>
      <c r="F42" s="8">
        <v>60</v>
      </c>
      <c r="G42" s="8"/>
    </row>
    <row r="43" spans="1:7" ht="25.05" customHeight="1">
      <c r="A43" s="6">
        <v>40</v>
      </c>
      <c r="B43" s="7" t="s">
        <v>32</v>
      </c>
      <c r="C43" s="6" t="s">
        <v>173</v>
      </c>
      <c r="D43" s="3" t="s">
        <v>219</v>
      </c>
      <c r="E43" s="9" t="s">
        <v>242</v>
      </c>
      <c r="F43" s="9">
        <f>SUM(F41:F42)</f>
        <v>130</v>
      </c>
      <c r="G43" s="9"/>
    </row>
    <row r="44" spans="1:7" ht="25.05" customHeight="1">
      <c r="A44" s="6">
        <v>41</v>
      </c>
      <c r="B44" s="7" t="s">
        <v>32</v>
      </c>
      <c r="C44" s="6" t="s">
        <v>173</v>
      </c>
      <c r="D44" s="6" t="s">
        <v>259</v>
      </c>
      <c r="E44" s="8" t="s">
        <v>449</v>
      </c>
      <c r="F44" s="8">
        <v>10</v>
      </c>
      <c r="G44" s="8"/>
    </row>
    <row r="45" spans="1:7" ht="25.05" customHeight="1">
      <c r="A45" s="6">
        <v>42</v>
      </c>
      <c r="B45" s="7" t="s">
        <v>32</v>
      </c>
      <c r="C45" s="6" t="s">
        <v>173</v>
      </c>
      <c r="D45" s="6" t="s">
        <v>259</v>
      </c>
      <c r="E45" s="11" t="s">
        <v>450</v>
      </c>
      <c r="F45" s="8">
        <v>45</v>
      </c>
      <c r="G45" s="8"/>
    </row>
    <row r="46" spans="1:7" ht="25.05" customHeight="1">
      <c r="A46" s="6">
        <v>43</v>
      </c>
      <c r="B46" s="7" t="s">
        <v>32</v>
      </c>
      <c r="C46" s="6" t="s">
        <v>173</v>
      </c>
      <c r="D46" s="3" t="s">
        <v>219</v>
      </c>
      <c r="E46" s="9" t="s">
        <v>261</v>
      </c>
      <c r="F46" s="9">
        <f>SUM(F44:F45)</f>
        <v>55</v>
      </c>
      <c r="G46" s="9"/>
    </row>
    <row r="47" spans="1:7" ht="25.05" customHeight="1">
      <c r="A47" s="6">
        <v>44</v>
      </c>
      <c r="B47" s="7" t="s">
        <v>32</v>
      </c>
      <c r="C47" s="6" t="s">
        <v>173</v>
      </c>
      <c r="D47" s="6" t="s">
        <v>243</v>
      </c>
      <c r="E47" s="8" t="s">
        <v>451</v>
      </c>
      <c r="F47" s="8">
        <v>11.4</v>
      </c>
      <c r="G47" s="8"/>
    </row>
    <row r="48" spans="1:7" ht="25.05" customHeight="1">
      <c r="A48" s="6">
        <v>45</v>
      </c>
      <c r="B48" s="7" t="s">
        <v>32</v>
      </c>
      <c r="C48" s="6" t="s">
        <v>173</v>
      </c>
      <c r="D48" s="6" t="s">
        <v>243</v>
      </c>
      <c r="E48" s="8" t="s">
        <v>452</v>
      </c>
      <c r="F48" s="8">
        <v>11.4</v>
      </c>
      <c r="G48" s="8"/>
    </row>
    <row r="49" spans="1:7" ht="25.05" customHeight="1">
      <c r="A49" s="6">
        <v>46</v>
      </c>
      <c r="B49" s="7" t="s">
        <v>32</v>
      </c>
      <c r="C49" s="6" t="s">
        <v>173</v>
      </c>
      <c r="D49" s="6" t="s">
        <v>243</v>
      </c>
      <c r="E49" s="8" t="s">
        <v>453</v>
      </c>
      <c r="F49" s="8">
        <v>19.8</v>
      </c>
      <c r="G49" s="8"/>
    </row>
    <row r="50" spans="1:7" ht="25.05" customHeight="1">
      <c r="A50" s="6">
        <v>47</v>
      </c>
      <c r="B50" s="7" t="s">
        <v>32</v>
      </c>
      <c r="C50" s="6" t="s">
        <v>173</v>
      </c>
      <c r="D50" s="6" t="s">
        <v>243</v>
      </c>
      <c r="E50" s="8" t="s">
        <v>423</v>
      </c>
      <c r="F50" s="8">
        <v>2</v>
      </c>
      <c r="G50" s="8"/>
    </row>
    <row r="51" spans="1:7" ht="25.05" customHeight="1">
      <c r="A51" s="6">
        <v>48</v>
      </c>
      <c r="B51" s="7" t="s">
        <v>32</v>
      </c>
      <c r="C51" s="6" t="s">
        <v>173</v>
      </c>
      <c r="D51" s="3" t="s">
        <v>219</v>
      </c>
      <c r="E51" s="9" t="s">
        <v>248</v>
      </c>
      <c r="F51" s="9">
        <f>SUM(F47:F50)</f>
        <v>44.6</v>
      </c>
      <c r="G51" s="9"/>
    </row>
    <row r="52" spans="1:7" ht="25.05" customHeight="1">
      <c r="A52" s="6">
        <v>49</v>
      </c>
      <c r="B52" s="7" t="s">
        <v>32</v>
      </c>
      <c r="C52" s="6" t="s">
        <v>173</v>
      </c>
      <c r="D52" s="6" t="s">
        <v>249</v>
      </c>
      <c r="E52" s="8" t="s">
        <v>927</v>
      </c>
      <c r="F52" s="8">
        <v>11</v>
      </c>
      <c r="G52" s="8"/>
    </row>
    <row r="53" spans="1:7" ht="25.05" customHeight="1">
      <c r="A53" s="6">
        <v>50</v>
      </c>
      <c r="B53" s="7" t="s">
        <v>32</v>
      </c>
      <c r="C53" s="6" t="s">
        <v>173</v>
      </c>
      <c r="D53" s="6" t="s">
        <v>249</v>
      </c>
      <c r="E53" s="8" t="s">
        <v>928</v>
      </c>
      <c r="F53" s="8">
        <v>13</v>
      </c>
      <c r="G53" s="8"/>
    </row>
    <row r="54" spans="1:7" ht="25.05" customHeight="1">
      <c r="A54" s="6">
        <v>51</v>
      </c>
      <c r="B54" s="7" t="s">
        <v>32</v>
      </c>
      <c r="C54" s="6" t="s">
        <v>173</v>
      </c>
      <c r="D54" s="6" t="s">
        <v>249</v>
      </c>
      <c r="E54" s="8" t="s">
        <v>929</v>
      </c>
      <c r="F54" s="8">
        <v>10.5</v>
      </c>
      <c r="G54" s="8"/>
    </row>
    <row r="55" spans="1:7" ht="25.05" customHeight="1">
      <c r="A55" s="6">
        <v>52</v>
      </c>
      <c r="B55" s="7" t="s">
        <v>32</v>
      </c>
      <c r="C55" s="6" t="s">
        <v>173</v>
      </c>
      <c r="D55" s="6" t="s">
        <v>249</v>
      </c>
      <c r="E55" s="8" t="s">
        <v>354</v>
      </c>
      <c r="F55" s="8">
        <v>58.5</v>
      </c>
      <c r="G55" s="8"/>
    </row>
    <row r="56" spans="1:7" ht="25.05" customHeight="1">
      <c r="A56" s="6">
        <v>53</v>
      </c>
      <c r="B56" s="7" t="s">
        <v>32</v>
      </c>
      <c r="C56" s="6" t="s">
        <v>173</v>
      </c>
      <c r="D56" s="6" t="s">
        <v>249</v>
      </c>
      <c r="E56" s="8" t="s">
        <v>930</v>
      </c>
      <c r="F56" s="8">
        <v>13</v>
      </c>
      <c r="G56" s="8"/>
    </row>
    <row r="57" spans="1:7" ht="25.05" customHeight="1">
      <c r="A57" s="6">
        <v>54</v>
      </c>
      <c r="B57" s="7" t="s">
        <v>32</v>
      </c>
      <c r="C57" s="6" t="s">
        <v>173</v>
      </c>
      <c r="D57" s="6" t="s">
        <v>249</v>
      </c>
      <c r="E57" s="8" t="s">
        <v>454</v>
      </c>
      <c r="F57" s="8">
        <v>10</v>
      </c>
      <c r="G57" s="8"/>
    </row>
    <row r="58" spans="1:7" ht="25.05" customHeight="1">
      <c r="A58" s="6">
        <v>55</v>
      </c>
      <c r="B58" s="7" t="s">
        <v>32</v>
      </c>
      <c r="C58" s="6" t="s">
        <v>173</v>
      </c>
      <c r="D58" s="3" t="s">
        <v>219</v>
      </c>
      <c r="E58" s="9" t="s">
        <v>255</v>
      </c>
      <c r="F58" s="9">
        <f>SUM(F52:F57)</f>
        <v>116</v>
      </c>
      <c r="G58" s="9"/>
    </row>
    <row r="59" spans="1:7" ht="25.05" customHeight="1">
      <c r="A59" s="6">
        <v>56</v>
      </c>
      <c r="B59" s="7" t="s">
        <v>32</v>
      </c>
      <c r="C59" s="6" t="s">
        <v>173</v>
      </c>
      <c r="D59" s="82" t="s">
        <v>256</v>
      </c>
      <c r="E59" s="11" t="s">
        <v>286</v>
      </c>
      <c r="F59" s="83">
        <v>20</v>
      </c>
      <c r="G59" s="8"/>
    </row>
    <row r="60" spans="1:7" ht="25.05" customHeight="1">
      <c r="A60" s="6">
        <v>57</v>
      </c>
      <c r="B60" s="7" t="s">
        <v>32</v>
      </c>
      <c r="C60" s="6" t="s">
        <v>173</v>
      </c>
      <c r="D60" s="3" t="s">
        <v>219</v>
      </c>
      <c r="E60" s="9" t="s">
        <v>258</v>
      </c>
      <c r="F60" s="9">
        <f>SUM(F59)</f>
        <v>20</v>
      </c>
      <c r="G60" s="9"/>
    </row>
    <row r="61" spans="1:7" ht="25.05" customHeight="1">
      <c r="A61" s="6">
        <v>58</v>
      </c>
      <c r="B61" s="7" t="s">
        <v>32</v>
      </c>
      <c r="C61" s="6" t="s">
        <v>173</v>
      </c>
      <c r="D61" s="6" t="s">
        <v>262</v>
      </c>
      <c r="E61" s="8" t="s">
        <v>425</v>
      </c>
      <c r="F61" s="8">
        <v>255</v>
      </c>
      <c r="G61" s="8"/>
    </row>
    <row r="62" spans="1:7" ht="25.05" customHeight="1">
      <c r="A62" s="6">
        <v>59</v>
      </c>
      <c r="B62" s="7" t="s">
        <v>32</v>
      </c>
      <c r="C62" s="6" t="s">
        <v>173</v>
      </c>
      <c r="D62" s="6" t="s">
        <v>262</v>
      </c>
      <c r="E62" s="8" t="s">
        <v>264</v>
      </c>
      <c r="F62" s="8">
        <v>40</v>
      </c>
      <c r="G62" s="8"/>
    </row>
    <row r="63" spans="1:7" ht="25.05" customHeight="1">
      <c r="A63" s="6">
        <v>60</v>
      </c>
      <c r="B63" s="7" t="s">
        <v>32</v>
      </c>
      <c r="C63" s="6" t="s">
        <v>173</v>
      </c>
      <c r="D63" s="6" t="s">
        <v>262</v>
      </c>
      <c r="E63" s="8" t="s">
        <v>265</v>
      </c>
      <c r="F63" s="8">
        <v>40</v>
      </c>
      <c r="G63" s="8"/>
    </row>
    <row r="64" spans="1:7" ht="25.05" customHeight="1">
      <c r="A64" s="6">
        <v>61</v>
      </c>
      <c r="B64" s="7" t="s">
        <v>32</v>
      </c>
      <c r="C64" s="6" t="s">
        <v>173</v>
      </c>
      <c r="D64" s="3" t="s">
        <v>219</v>
      </c>
      <c r="E64" s="9" t="s">
        <v>266</v>
      </c>
      <c r="F64" s="9">
        <f>SUM(F61:F63)</f>
        <v>335</v>
      </c>
      <c r="G64" s="9"/>
    </row>
    <row r="65" spans="1:7" ht="25.05" customHeight="1">
      <c r="A65" s="6">
        <v>62</v>
      </c>
      <c r="B65" s="7" t="s">
        <v>32</v>
      </c>
      <c r="C65" s="6" t="s">
        <v>173</v>
      </c>
      <c r="D65" s="3" t="s">
        <v>267</v>
      </c>
      <c r="E65" s="10" t="s">
        <v>931</v>
      </c>
      <c r="F65" s="10">
        <v>1897</v>
      </c>
      <c r="G65" s="9"/>
    </row>
    <row r="66" spans="1:7" ht="25.05" customHeight="1">
      <c r="A66" s="219" t="s">
        <v>932</v>
      </c>
      <c r="B66" s="219"/>
      <c r="C66" s="219"/>
      <c r="D66" s="219"/>
      <c r="E66" s="219"/>
      <c r="F66" s="219"/>
      <c r="G66" s="219"/>
    </row>
  </sheetData>
  <autoFilter ref="A3:G66" xr:uid="{00000000-0009-0000-0000-000039000000}"/>
  <mergeCells count="3">
    <mergeCell ref="A1:G1"/>
    <mergeCell ref="A2:G2"/>
    <mergeCell ref="A66:G66"/>
  </mergeCells>
  <phoneticPr fontId="23" type="noConversion"/>
  <pageMargins left="0.59055118110236204" right="0.15748031496063" top="0.27559055118110198" bottom="0.62992125984252001" header="0.27559055118110198" footer="0.23622047244094499"/>
  <pageSetup paperSize="9" orientation="portrait" horizontalDpi="1200" verticalDpi="1200" r:id="rId1"/>
  <headerFooter>
    <oddFooter>&amp;C&amp;8第 &amp;P 页，共 &amp;N 页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45"/>
  <sheetViews>
    <sheetView view="pageBreakPreview" topLeftCell="A7" zoomScale="115" zoomScaleNormal="115" workbookViewId="0">
      <selection activeCell="E9" sqref="E9"/>
    </sheetView>
  </sheetViews>
  <sheetFormatPr defaultColWidth="9" defaultRowHeight="15.75"/>
  <cols>
    <col min="1" max="1" width="4" style="1" customWidth="1"/>
    <col min="2" max="2" width="7.59765625" style="2" customWidth="1"/>
    <col min="3" max="3" width="10.19921875" style="1" customWidth="1"/>
    <col min="4" max="4" width="11.59765625" style="1" customWidth="1"/>
    <col min="5" max="5" width="46.19921875" style="1" customWidth="1"/>
    <col min="6" max="6" width="7.46484375" style="78" customWidth="1"/>
    <col min="7" max="7" width="7.9296875" style="1" customWidth="1"/>
  </cols>
  <sheetData>
    <row r="1" spans="1:7" ht="25.05" customHeight="1">
      <c r="A1" s="215" t="s">
        <v>933</v>
      </c>
      <c r="B1" s="215"/>
      <c r="C1" s="215"/>
      <c r="D1" s="215"/>
      <c r="E1" s="215"/>
      <c r="F1" s="235"/>
      <c r="G1" s="235"/>
    </row>
    <row r="2" spans="1:7" ht="25.05" customHeight="1">
      <c r="A2" s="228" t="s">
        <v>934</v>
      </c>
      <c r="B2" s="228"/>
      <c r="C2" s="228"/>
      <c r="D2" s="228"/>
      <c r="E2" s="228"/>
      <c r="F2" s="228"/>
      <c r="G2" s="228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23</v>
      </c>
      <c r="C4" s="6" t="s">
        <v>175</v>
      </c>
      <c r="D4" s="6" t="s">
        <v>209</v>
      </c>
      <c r="E4" s="8" t="s">
        <v>210</v>
      </c>
      <c r="F4" s="25">
        <v>19</v>
      </c>
      <c r="G4" s="8"/>
    </row>
    <row r="5" spans="1:7" ht="25.05" customHeight="1">
      <c r="A5" s="6">
        <v>2</v>
      </c>
      <c r="B5" s="7" t="s">
        <v>23</v>
      </c>
      <c r="C5" s="6" t="s">
        <v>175</v>
      </c>
      <c r="D5" s="6" t="s">
        <v>209</v>
      </c>
      <c r="E5" s="8" t="s">
        <v>211</v>
      </c>
      <c r="F5" s="25">
        <v>15</v>
      </c>
      <c r="G5" s="8"/>
    </row>
    <row r="6" spans="1:7" ht="25.05" customHeight="1">
      <c r="A6" s="6">
        <v>3</v>
      </c>
      <c r="B6" s="7" t="s">
        <v>23</v>
      </c>
      <c r="C6" s="6" t="s">
        <v>175</v>
      </c>
      <c r="D6" s="6" t="s">
        <v>209</v>
      </c>
      <c r="E6" s="8" t="s">
        <v>212</v>
      </c>
      <c r="F6" s="25">
        <v>34</v>
      </c>
      <c r="G6" s="8"/>
    </row>
    <row r="7" spans="1:7" ht="25.05" customHeight="1">
      <c r="A7" s="6">
        <v>4</v>
      </c>
      <c r="B7" s="7" t="s">
        <v>23</v>
      </c>
      <c r="C7" s="6" t="s">
        <v>175</v>
      </c>
      <c r="D7" s="6" t="s">
        <v>209</v>
      </c>
      <c r="E7" s="8" t="s">
        <v>272</v>
      </c>
      <c r="F7" s="25">
        <v>34</v>
      </c>
      <c r="G7" s="8"/>
    </row>
    <row r="8" spans="1:7" ht="25.05" customHeight="1">
      <c r="A8" s="6">
        <v>5</v>
      </c>
      <c r="B8" s="7" t="s">
        <v>23</v>
      </c>
      <c r="C8" s="6" t="s">
        <v>175</v>
      </c>
      <c r="D8" s="6" t="s">
        <v>209</v>
      </c>
      <c r="E8" s="8" t="s">
        <v>214</v>
      </c>
      <c r="F8" s="25">
        <v>26</v>
      </c>
      <c r="G8" s="8"/>
    </row>
    <row r="9" spans="1:7" ht="25.05" customHeight="1">
      <c r="A9" s="6">
        <v>6</v>
      </c>
      <c r="B9" s="7" t="s">
        <v>23</v>
      </c>
      <c r="C9" s="6" t="s">
        <v>175</v>
      </c>
      <c r="D9" s="6" t="s">
        <v>209</v>
      </c>
      <c r="E9" s="8" t="s">
        <v>312</v>
      </c>
      <c r="F9" s="25">
        <v>10</v>
      </c>
      <c r="G9" s="8"/>
    </row>
    <row r="10" spans="1:7" ht="25.05" customHeight="1">
      <c r="A10" s="6">
        <v>7</v>
      </c>
      <c r="B10" s="7" t="s">
        <v>23</v>
      </c>
      <c r="C10" s="6" t="s">
        <v>175</v>
      </c>
      <c r="D10" s="6" t="s">
        <v>209</v>
      </c>
      <c r="E10" s="8" t="s">
        <v>216</v>
      </c>
      <c r="F10" s="25">
        <v>35</v>
      </c>
      <c r="G10" s="8"/>
    </row>
    <row r="11" spans="1:7" ht="25.05" customHeight="1">
      <c r="A11" s="6">
        <v>8</v>
      </c>
      <c r="B11" s="7" t="s">
        <v>23</v>
      </c>
      <c r="C11" s="6" t="s">
        <v>175</v>
      </c>
      <c r="D11" s="6" t="s">
        <v>209</v>
      </c>
      <c r="E11" s="8" t="s">
        <v>292</v>
      </c>
      <c r="F11" s="25">
        <v>24</v>
      </c>
      <c r="G11" s="8"/>
    </row>
    <row r="12" spans="1:7" ht="25.05" customHeight="1">
      <c r="A12" s="6">
        <v>9</v>
      </c>
      <c r="B12" s="7" t="s">
        <v>23</v>
      </c>
      <c r="C12" s="6" t="s">
        <v>175</v>
      </c>
      <c r="D12" s="6" t="s">
        <v>209</v>
      </c>
      <c r="E12" s="8" t="s">
        <v>313</v>
      </c>
      <c r="F12" s="25">
        <v>55</v>
      </c>
      <c r="G12" s="8"/>
    </row>
    <row r="13" spans="1:7" ht="25.05" customHeight="1">
      <c r="A13" s="6">
        <v>10</v>
      </c>
      <c r="B13" s="7" t="s">
        <v>23</v>
      </c>
      <c r="C13" s="6" t="s">
        <v>175</v>
      </c>
      <c r="D13" s="6" t="s">
        <v>209</v>
      </c>
      <c r="E13" s="8" t="s">
        <v>218</v>
      </c>
      <c r="F13" s="25">
        <v>10</v>
      </c>
      <c r="G13" s="8"/>
    </row>
    <row r="14" spans="1:7" ht="25.05" customHeight="1">
      <c r="A14" s="6">
        <v>11</v>
      </c>
      <c r="B14" s="7" t="s">
        <v>23</v>
      </c>
      <c r="C14" s="6" t="s">
        <v>175</v>
      </c>
      <c r="D14" s="3" t="s">
        <v>219</v>
      </c>
      <c r="E14" s="9" t="s">
        <v>220</v>
      </c>
      <c r="F14" s="79">
        <f>SUM(F4:F13)</f>
        <v>262</v>
      </c>
      <c r="G14" s="9"/>
    </row>
    <row r="15" spans="1:7" ht="25.05" customHeight="1">
      <c r="A15" s="6">
        <v>12</v>
      </c>
      <c r="B15" s="7" t="s">
        <v>23</v>
      </c>
      <c r="C15" s="6" t="s">
        <v>175</v>
      </c>
      <c r="D15" s="6" t="s">
        <v>221</v>
      </c>
      <c r="E15" s="8" t="s">
        <v>581</v>
      </c>
      <c r="F15" s="25">
        <v>14</v>
      </c>
      <c r="G15" s="8"/>
    </row>
    <row r="16" spans="1:7" ht="25.05" customHeight="1">
      <c r="A16" s="6">
        <v>13</v>
      </c>
      <c r="B16" s="7" t="s">
        <v>23</v>
      </c>
      <c r="C16" s="6" t="s">
        <v>175</v>
      </c>
      <c r="D16" s="6" t="s">
        <v>221</v>
      </c>
      <c r="E16" s="8" t="s">
        <v>410</v>
      </c>
      <c r="F16" s="25">
        <v>42</v>
      </c>
      <c r="G16" s="8"/>
    </row>
    <row r="17" spans="1:7" ht="25.05" customHeight="1">
      <c r="A17" s="6">
        <v>14</v>
      </c>
      <c r="B17" s="7" t="s">
        <v>23</v>
      </c>
      <c r="C17" s="6" t="s">
        <v>175</v>
      </c>
      <c r="D17" s="6" t="s">
        <v>221</v>
      </c>
      <c r="E17" s="8" t="s">
        <v>224</v>
      </c>
      <c r="F17" s="25">
        <v>10</v>
      </c>
      <c r="G17" s="8"/>
    </row>
    <row r="18" spans="1:7" ht="25.05" customHeight="1">
      <c r="A18" s="6">
        <v>15</v>
      </c>
      <c r="B18" s="7" t="s">
        <v>23</v>
      </c>
      <c r="C18" s="6" t="s">
        <v>175</v>
      </c>
      <c r="D18" s="6" t="s">
        <v>221</v>
      </c>
      <c r="E18" s="8" t="s">
        <v>582</v>
      </c>
      <c r="F18" s="25">
        <v>20</v>
      </c>
      <c r="G18" s="8"/>
    </row>
    <row r="19" spans="1:7" ht="25.05" customHeight="1">
      <c r="A19" s="6">
        <v>16</v>
      </c>
      <c r="B19" s="7" t="s">
        <v>23</v>
      </c>
      <c r="C19" s="6" t="s">
        <v>175</v>
      </c>
      <c r="D19" s="6" t="s">
        <v>221</v>
      </c>
      <c r="E19" s="8" t="s">
        <v>294</v>
      </c>
      <c r="F19" s="25">
        <v>22</v>
      </c>
      <c r="G19" s="8"/>
    </row>
    <row r="20" spans="1:7" ht="25.05" customHeight="1">
      <c r="A20" s="6">
        <v>17</v>
      </c>
      <c r="B20" s="7" t="s">
        <v>23</v>
      </c>
      <c r="C20" s="6" t="s">
        <v>175</v>
      </c>
      <c r="D20" s="6" t="s">
        <v>221</v>
      </c>
      <c r="E20" s="8" t="s">
        <v>227</v>
      </c>
      <c r="F20" s="25">
        <v>20</v>
      </c>
      <c r="G20" s="8"/>
    </row>
    <row r="21" spans="1:7" ht="25.05" customHeight="1">
      <c r="A21" s="6">
        <v>18</v>
      </c>
      <c r="B21" s="7" t="s">
        <v>23</v>
      </c>
      <c r="C21" s="6" t="s">
        <v>175</v>
      </c>
      <c r="D21" s="3" t="s">
        <v>219</v>
      </c>
      <c r="E21" s="9" t="s">
        <v>228</v>
      </c>
      <c r="F21" s="79">
        <f>SUM(F15:F20)</f>
        <v>128</v>
      </c>
      <c r="G21" s="9"/>
    </row>
    <row r="22" spans="1:7" ht="25.05" customHeight="1">
      <c r="A22" s="6">
        <v>19</v>
      </c>
      <c r="B22" s="7" t="s">
        <v>23</v>
      </c>
      <c r="C22" s="6" t="s">
        <v>175</v>
      </c>
      <c r="D22" s="6" t="s">
        <v>229</v>
      </c>
      <c r="E22" s="8" t="s">
        <v>583</v>
      </c>
      <c r="F22" s="25">
        <v>14</v>
      </c>
      <c r="G22" s="8"/>
    </row>
    <row r="23" spans="1:7" ht="25.05" customHeight="1">
      <c r="A23" s="6">
        <v>20</v>
      </c>
      <c r="B23" s="7" t="s">
        <v>23</v>
      </c>
      <c r="C23" s="6" t="s">
        <v>175</v>
      </c>
      <c r="D23" s="6" t="s">
        <v>229</v>
      </c>
      <c r="E23" s="8" t="s">
        <v>411</v>
      </c>
      <c r="F23" s="25">
        <v>52</v>
      </c>
      <c r="G23" s="8"/>
    </row>
    <row r="24" spans="1:7" ht="25.05" customHeight="1">
      <c r="A24" s="6">
        <v>21</v>
      </c>
      <c r="B24" s="7" t="s">
        <v>23</v>
      </c>
      <c r="C24" s="6" t="s">
        <v>175</v>
      </c>
      <c r="D24" s="6" t="s">
        <v>229</v>
      </c>
      <c r="E24" s="8" t="s">
        <v>232</v>
      </c>
      <c r="F24" s="25">
        <v>18</v>
      </c>
      <c r="G24" s="8"/>
    </row>
    <row r="25" spans="1:7" ht="25.05" customHeight="1">
      <c r="A25" s="6">
        <v>22</v>
      </c>
      <c r="B25" s="7" t="s">
        <v>23</v>
      </c>
      <c r="C25" s="6" t="s">
        <v>175</v>
      </c>
      <c r="D25" s="6" t="s">
        <v>229</v>
      </c>
      <c r="E25" s="8" t="s">
        <v>584</v>
      </c>
      <c r="F25" s="25">
        <v>25</v>
      </c>
      <c r="G25" s="8"/>
    </row>
    <row r="26" spans="1:7" ht="25.05" customHeight="1">
      <c r="A26" s="6">
        <v>23</v>
      </c>
      <c r="B26" s="7" t="s">
        <v>23</v>
      </c>
      <c r="C26" s="6" t="s">
        <v>175</v>
      </c>
      <c r="D26" s="6" t="s">
        <v>229</v>
      </c>
      <c r="E26" s="8" t="s">
        <v>234</v>
      </c>
      <c r="F26" s="25">
        <v>20</v>
      </c>
      <c r="G26" s="8"/>
    </row>
    <row r="27" spans="1:7" ht="25.05" customHeight="1">
      <c r="A27" s="6">
        <v>24</v>
      </c>
      <c r="B27" s="7" t="s">
        <v>23</v>
      </c>
      <c r="C27" s="6" t="s">
        <v>175</v>
      </c>
      <c r="D27" s="6" t="s">
        <v>229</v>
      </c>
      <c r="E27" s="8" t="s">
        <v>237</v>
      </c>
      <c r="F27" s="25">
        <v>8</v>
      </c>
      <c r="G27" s="8"/>
    </row>
    <row r="28" spans="1:7" ht="25.05" customHeight="1">
      <c r="A28" s="6">
        <v>25</v>
      </c>
      <c r="B28" s="7" t="s">
        <v>23</v>
      </c>
      <c r="C28" s="6" t="s">
        <v>175</v>
      </c>
      <c r="D28" s="6" t="s">
        <v>229</v>
      </c>
      <c r="E28" s="8" t="s">
        <v>235</v>
      </c>
      <c r="F28" s="25">
        <v>10</v>
      </c>
      <c r="G28" s="8"/>
    </row>
    <row r="29" spans="1:7" ht="25.05" customHeight="1">
      <c r="A29" s="6">
        <v>26</v>
      </c>
      <c r="B29" s="7" t="s">
        <v>23</v>
      </c>
      <c r="C29" s="6" t="s">
        <v>175</v>
      </c>
      <c r="D29" s="3" t="s">
        <v>219</v>
      </c>
      <c r="E29" s="9" t="s">
        <v>238</v>
      </c>
      <c r="F29" s="79">
        <f>SUM(F22:F28)</f>
        <v>147</v>
      </c>
      <c r="G29" s="9"/>
    </row>
    <row r="30" spans="1:7" ht="25.05" customHeight="1">
      <c r="A30" s="6">
        <v>27</v>
      </c>
      <c r="B30" s="7" t="s">
        <v>23</v>
      </c>
      <c r="C30" s="6" t="s">
        <v>175</v>
      </c>
      <c r="D30" s="6" t="s">
        <v>239</v>
      </c>
      <c r="E30" s="8" t="s">
        <v>240</v>
      </c>
      <c r="F30" s="25">
        <v>80</v>
      </c>
      <c r="G30" s="8"/>
    </row>
    <row r="31" spans="1:7" ht="25.05" customHeight="1">
      <c r="A31" s="6">
        <v>28</v>
      </c>
      <c r="B31" s="7" t="s">
        <v>23</v>
      </c>
      <c r="C31" s="6" t="s">
        <v>175</v>
      </c>
      <c r="D31" s="6" t="s">
        <v>239</v>
      </c>
      <c r="E31" s="8" t="s">
        <v>241</v>
      </c>
      <c r="F31" s="25">
        <v>60</v>
      </c>
      <c r="G31" s="8"/>
    </row>
    <row r="32" spans="1:7" ht="25.05" customHeight="1">
      <c r="A32" s="6">
        <v>29</v>
      </c>
      <c r="B32" s="7" t="s">
        <v>23</v>
      </c>
      <c r="C32" s="6" t="s">
        <v>175</v>
      </c>
      <c r="D32" s="3" t="s">
        <v>219</v>
      </c>
      <c r="E32" s="9" t="s">
        <v>242</v>
      </c>
      <c r="F32" s="79">
        <f>SUM(F30:F31)</f>
        <v>140</v>
      </c>
      <c r="G32" s="9"/>
    </row>
    <row r="33" spans="1:7" ht="25.05" customHeight="1">
      <c r="A33" s="6">
        <v>30</v>
      </c>
      <c r="B33" s="7" t="s">
        <v>23</v>
      </c>
      <c r="C33" s="6" t="s">
        <v>175</v>
      </c>
      <c r="D33" s="6" t="s">
        <v>249</v>
      </c>
      <c r="E33" s="8" t="s">
        <v>332</v>
      </c>
      <c r="F33" s="25">
        <v>8</v>
      </c>
      <c r="G33" s="8"/>
    </row>
    <row r="34" spans="1:7" ht="25.05" customHeight="1">
      <c r="A34" s="6">
        <v>31</v>
      </c>
      <c r="B34" s="7" t="s">
        <v>23</v>
      </c>
      <c r="C34" s="6" t="s">
        <v>175</v>
      </c>
      <c r="D34" s="6" t="s">
        <v>249</v>
      </c>
      <c r="E34" s="8" t="s">
        <v>333</v>
      </c>
      <c r="F34" s="25">
        <v>8</v>
      </c>
      <c r="G34" s="8"/>
    </row>
    <row r="35" spans="1:7" ht="25.05" customHeight="1">
      <c r="A35" s="6">
        <v>32</v>
      </c>
      <c r="B35" s="7" t="s">
        <v>23</v>
      </c>
      <c r="C35" s="6" t="s">
        <v>175</v>
      </c>
      <c r="D35" s="6" t="s">
        <v>249</v>
      </c>
      <c r="E35" s="80" t="s">
        <v>586</v>
      </c>
      <c r="F35" s="25">
        <v>48</v>
      </c>
      <c r="G35" s="8"/>
    </row>
    <row r="36" spans="1:7" ht="25.05" customHeight="1">
      <c r="A36" s="6">
        <v>33</v>
      </c>
      <c r="B36" s="7" t="s">
        <v>23</v>
      </c>
      <c r="C36" s="6" t="s">
        <v>175</v>
      </c>
      <c r="D36" s="6" t="s">
        <v>249</v>
      </c>
      <c r="E36" s="8" t="s">
        <v>335</v>
      </c>
      <c r="F36" s="25">
        <v>8</v>
      </c>
      <c r="G36" s="8"/>
    </row>
    <row r="37" spans="1:7" ht="25.05" customHeight="1">
      <c r="A37" s="6">
        <v>35</v>
      </c>
      <c r="B37" s="7" t="s">
        <v>23</v>
      </c>
      <c r="C37" s="6" t="s">
        <v>175</v>
      </c>
      <c r="D37" s="6" t="s">
        <v>249</v>
      </c>
      <c r="E37" s="8" t="s">
        <v>935</v>
      </c>
      <c r="F37" s="25">
        <v>200</v>
      </c>
      <c r="G37" s="8"/>
    </row>
    <row r="38" spans="1:7" ht="25.05" customHeight="1">
      <c r="A38" s="6">
        <v>36</v>
      </c>
      <c r="B38" s="7" t="s">
        <v>23</v>
      </c>
      <c r="C38" s="6" t="s">
        <v>175</v>
      </c>
      <c r="D38" s="3" t="s">
        <v>219</v>
      </c>
      <c r="E38" s="9" t="s">
        <v>255</v>
      </c>
      <c r="F38" s="79">
        <f>SUM(F33:F37)</f>
        <v>272</v>
      </c>
      <c r="G38" s="9"/>
    </row>
    <row r="39" spans="1:7" ht="25.05" customHeight="1">
      <c r="A39" s="6">
        <v>37</v>
      </c>
      <c r="B39" s="7" t="s">
        <v>23</v>
      </c>
      <c r="C39" s="6" t="s">
        <v>175</v>
      </c>
      <c r="D39" s="6" t="s">
        <v>262</v>
      </c>
      <c r="E39" s="8" t="s">
        <v>263</v>
      </c>
      <c r="F39" s="25">
        <v>130</v>
      </c>
      <c r="G39" s="8"/>
    </row>
    <row r="40" spans="1:7" ht="25.05" customHeight="1">
      <c r="A40" s="6">
        <v>38</v>
      </c>
      <c r="B40" s="7" t="s">
        <v>23</v>
      </c>
      <c r="C40" s="6" t="s">
        <v>175</v>
      </c>
      <c r="D40" s="6" t="s">
        <v>262</v>
      </c>
      <c r="E40" s="8" t="s">
        <v>265</v>
      </c>
      <c r="F40" s="25">
        <v>30</v>
      </c>
      <c r="G40" s="8"/>
    </row>
    <row r="41" spans="1:7" ht="25.05" customHeight="1">
      <c r="A41" s="6">
        <v>39</v>
      </c>
      <c r="B41" s="7" t="s">
        <v>23</v>
      </c>
      <c r="C41" s="6" t="s">
        <v>175</v>
      </c>
      <c r="D41" s="6" t="s">
        <v>262</v>
      </c>
      <c r="E41" s="8" t="s">
        <v>264</v>
      </c>
      <c r="F41" s="25">
        <v>50</v>
      </c>
      <c r="G41" s="8"/>
    </row>
    <row r="42" spans="1:7" ht="25.05" customHeight="1">
      <c r="A42" s="6">
        <v>40</v>
      </c>
      <c r="B42" s="7" t="s">
        <v>23</v>
      </c>
      <c r="C42" s="6" t="s">
        <v>175</v>
      </c>
      <c r="D42" s="6" t="s">
        <v>262</v>
      </c>
      <c r="E42" s="8" t="s">
        <v>591</v>
      </c>
      <c r="F42" s="25">
        <v>40</v>
      </c>
      <c r="G42" s="8"/>
    </row>
    <row r="43" spans="1:7" ht="25.05" customHeight="1">
      <c r="A43" s="6">
        <v>41</v>
      </c>
      <c r="B43" s="7" t="s">
        <v>23</v>
      </c>
      <c r="C43" s="6" t="s">
        <v>175</v>
      </c>
      <c r="D43" s="3" t="s">
        <v>219</v>
      </c>
      <c r="E43" s="9" t="s">
        <v>266</v>
      </c>
      <c r="F43" s="79">
        <f>SUM(F39:F42)</f>
        <v>250</v>
      </c>
      <c r="G43" s="9"/>
    </row>
    <row r="44" spans="1:7" ht="25.05" customHeight="1">
      <c r="A44" s="6">
        <v>42</v>
      </c>
      <c r="B44" s="7" t="s">
        <v>23</v>
      </c>
      <c r="C44" s="6" t="s">
        <v>175</v>
      </c>
      <c r="D44" s="3" t="s">
        <v>267</v>
      </c>
      <c r="E44" s="10" t="s">
        <v>936</v>
      </c>
      <c r="F44" s="10">
        <v>1199</v>
      </c>
      <c r="G44" s="9"/>
    </row>
    <row r="45" spans="1:7" ht="25.05" customHeight="1">
      <c r="A45" s="219" t="s">
        <v>937</v>
      </c>
      <c r="B45" s="219"/>
      <c r="C45" s="219"/>
      <c r="D45" s="219"/>
      <c r="E45" s="219"/>
      <c r="F45" s="219"/>
      <c r="G45" s="219"/>
    </row>
  </sheetData>
  <autoFilter ref="A3:G45" xr:uid="{00000000-0009-0000-0000-00003A000000}"/>
  <mergeCells count="3">
    <mergeCell ref="A1:G1"/>
    <mergeCell ref="A2:G2"/>
    <mergeCell ref="A45:G45"/>
  </mergeCells>
  <phoneticPr fontId="23" type="noConversion"/>
  <pageMargins left="0.59055118110236204" right="0.27559055118110198" top="0.39370078740157499" bottom="0.47244094488188998" header="0.39370078740157499" footer="0.196850393700787"/>
  <pageSetup paperSize="9" orientation="portrait" horizontalDpi="1200" verticalDpi="1200" r:id="rId1"/>
  <headerFooter>
    <oddFooter>&amp;C&amp;8第 &amp;P 页，共 &amp;N 页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65"/>
  <sheetViews>
    <sheetView view="pageBreakPreview" zoomScale="115" zoomScaleNormal="100" workbookViewId="0">
      <pane ySplit="3" topLeftCell="A54" activePane="bottomLeft" state="frozen"/>
      <selection pane="bottomLeft" activeCell="F60" sqref="F60"/>
    </sheetView>
  </sheetViews>
  <sheetFormatPr defaultColWidth="9" defaultRowHeight="15.75"/>
  <cols>
    <col min="1" max="1" width="4.06640625" style="73" customWidth="1"/>
    <col min="2" max="2" width="9.46484375" style="74" customWidth="1"/>
    <col min="3" max="3" width="13.59765625" style="73" customWidth="1"/>
    <col min="4" max="4" width="11" style="73" customWidth="1"/>
    <col min="5" max="5" width="43.9296875" style="1" customWidth="1"/>
    <col min="6" max="6" width="6.59765625" style="1" customWidth="1"/>
    <col min="7" max="7" width="7.796875" style="1" customWidth="1"/>
  </cols>
  <sheetData>
    <row r="1" spans="1:7" ht="25.05" customHeight="1">
      <c r="A1" s="215" t="s">
        <v>938</v>
      </c>
      <c r="B1" s="215"/>
      <c r="C1" s="215"/>
      <c r="D1" s="215"/>
      <c r="E1" s="215"/>
      <c r="F1" s="235"/>
      <c r="G1" s="235"/>
    </row>
    <row r="2" spans="1:7" ht="25.05" customHeight="1">
      <c r="A2" s="217" t="s">
        <v>939</v>
      </c>
      <c r="B2" s="217"/>
      <c r="C2" s="217"/>
      <c r="D2" s="217"/>
      <c r="E2" s="217"/>
      <c r="F2" s="217"/>
      <c r="G2" s="217"/>
    </row>
    <row r="3" spans="1:7" ht="25.05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5.05" customHeight="1">
      <c r="A4" s="6">
        <v>1</v>
      </c>
      <c r="B4" s="7" t="s">
        <v>32</v>
      </c>
      <c r="C4" s="6" t="s">
        <v>458</v>
      </c>
      <c r="D4" s="6" t="s">
        <v>209</v>
      </c>
      <c r="E4" s="8" t="s">
        <v>210</v>
      </c>
      <c r="F4" s="8">
        <v>19</v>
      </c>
      <c r="G4" s="8"/>
    </row>
    <row r="5" spans="1:7" ht="25.05" customHeight="1">
      <c r="A5" s="6">
        <v>2</v>
      </c>
      <c r="B5" s="7" t="s">
        <v>32</v>
      </c>
      <c r="C5" s="6" t="s">
        <v>458</v>
      </c>
      <c r="D5" s="6" t="s">
        <v>209</v>
      </c>
      <c r="E5" s="8" t="s">
        <v>211</v>
      </c>
      <c r="F5" s="8">
        <v>15</v>
      </c>
      <c r="G5" s="8"/>
    </row>
    <row r="6" spans="1:7" ht="25.05" customHeight="1">
      <c r="A6" s="6">
        <v>3</v>
      </c>
      <c r="B6" s="7" t="s">
        <v>32</v>
      </c>
      <c r="C6" s="6" t="s">
        <v>458</v>
      </c>
      <c r="D6" s="6" t="s">
        <v>209</v>
      </c>
      <c r="E6" s="8" t="s">
        <v>212</v>
      </c>
      <c r="F6" s="8">
        <v>34</v>
      </c>
      <c r="G6" s="8"/>
    </row>
    <row r="7" spans="1:7" ht="25.05" customHeight="1">
      <c r="A7" s="6">
        <v>4</v>
      </c>
      <c r="B7" s="7" t="s">
        <v>32</v>
      </c>
      <c r="C7" s="6" t="s">
        <v>458</v>
      </c>
      <c r="D7" s="6" t="s">
        <v>209</v>
      </c>
      <c r="E7" s="8" t="s">
        <v>272</v>
      </c>
      <c r="F7" s="8">
        <v>34</v>
      </c>
      <c r="G7" s="8"/>
    </row>
    <row r="8" spans="1:7" ht="25.05" customHeight="1">
      <c r="A8" s="6">
        <v>5</v>
      </c>
      <c r="B8" s="7" t="s">
        <v>32</v>
      </c>
      <c r="C8" s="6" t="s">
        <v>458</v>
      </c>
      <c r="D8" s="6" t="s">
        <v>209</v>
      </c>
      <c r="E8" s="8" t="s">
        <v>214</v>
      </c>
      <c r="F8" s="8">
        <v>26</v>
      </c>
      <c r="G8" s="8"/>
    </row>
    <row r="9" spans="1:7" ht="25.05" customHeight="1">
      <c r="A9" s="6">
        <v>6</v>
      </c>
      <c r="B9" s="7" t="s">
        <v>32</v>
      </c>
      <c r="C9" s="6" t="s">
        <v>458</v>
      </c>
      <c r="D9" s="6" t="s">
        <v>209</v>
      </c>
      <c r="E9" s="8" t="s">
        <v>312</v>
      </c>
      <c r="F9" s="8">
        <v>10</v>
      </c>
      <c r="G9" s="8"/>
    </row>
    <row r="10" spans="1:7" ht="25.05" customHeight="1">
      <c r="A10" s="6">
        <v>7</v>
      </c>
      <c r="B10" s="7" t="s">
        <v>32</v>
      </c>
      <c r="C10" s="6" t="s">
        <v>458</v>
      </c>
      <c r="D10" s="6" t="s">
        <v>209</v>
      </c>
      <c r="E10" s="8" t="s">
        <v>216</v>
      </c>
      <c r="F10" s="8">
        <v>40</v>
      </c>
      <c r="G10" s="8"/>
    </row>
    <row r="11" spans="1:7" ht="25.05" customHeight="1">
      <c r="A11" s="6">
        <v>8</v>
      </c>
      <c r="B11" s="7" t="s">
        <v>32</v>
      </c>
      <c r="C11" s="6" t="s">
        <v>458</v>
      </c>
      <c r="D11" s="6" t="s">
        <v>209</v>
      </c>
      <c r="E11" s="8" t="s">
        <v>292</v>
      </c>
      <c r="F11" s="8">
        <v>18</v>
      </c>
      <c r="G11" s="8"/>
    </row>
    <row r="12" spans="1:7" ht="25.05" customHeight="1">
      <c r="A12" s="6">
        <v>9</v>
      </c>
      <c r="B12" s="7" t="s">
        <v>32</v>
      </c>
      <c r="C12" s="6" t="s">
        <v>458</v>
      </c>
      <c r="D12" s="6" t="s">
        <v>209</v>
      </c>
      <c r="E12" s="8" t="s">
        <v>217</v>
      </c>
      <c r="F12" s="8">
        <v>55</v>
      </c>
      <c r="G12" s="8"/>
    </row>
    <row r="13" spans="1:7" ht="25.05" customHeight="1">
      <c r="A13" s="6">
        <v>10</v>
      </c>
      <c r="B13" s="7" t="s">
        <v>32</v>
      </c>
      <c r="C13" s="6" t="s">
        <v>458</v>
      </c>
      <c r="D13" s="6" t="s">
        <v>209</v>
      </c>
      <c r="E13" s="8" t="s">
        <v>218</v>
      </c>
      <c r="F13" s="8">
        <v>10</v>
      </c>
      <c r="G13" s="8"/>
    </row>
    <row r="14" spans="1:7" ht="25.05" customHeight="1">
      <c r="A14" s="6">
        <v>11</v>
      </c>
      <c r="B14" s="7" t="s">
        <v>32</v>
      </c>
      <c r="C14" s="6" t="s">
        <v>458</v>
      </c>
      <c r="D14" s="3" t="s">
        <v>219</v>
      </c>
      <c r="E14" s="9" t="s">
        <v>220</v>
      </c>
      <c r="F14" s="9">
        <f>SUM(F4:F13)</f>
        <v>261</v>
      </c>
      <c r="G14" s="9"/>
    </row>
    <row r="15" spans="1:7" ht="25.05" customHeight="1">
      <c r="A15" s="6">
        <v>12</v>
      </c>
      <c r="B15" s="7" t="s">
        <v>32</v>
      </c>
      <c r="C15" s="6" t="s">
        <v>458</v>
      </c>
      <c r="D15" s="6" t="s">
        <v>401</v>
      </c>
      <c r="E15" s="8" t="s">
        <v>402</v>
      </c>
      <c r="F15" s="8">
        <v>34</v>
      </c>
      <c r="G15" s="8"/>
    </row>
    <row r="16" spans="1:7" ht="25.05" customHeight="1">
      <c r="A16" s="6">
        <v>13</v>
      </c>
      <c r="B16" s="7" t="s">
        <v>32</v>
      </c>
      <c r="C16" s="6" t="s">
        <v>458</v>
      </c>
      <c r="D16" s="6" t="s">
        <v>401</v>
      </c>
      <c r="E16" s="8" t="s">
        <v>403</v>
      </c>
      <c r="F16" s="8">
        <v>34</v>
      </c>
      <c r="G16" s="8"/>
    </row>
    <row r="17" spans="1:7" ht="25.05" customHeight="1">
      <c r="A17" s="6">
        <v>14</v>
      </c>
      <c r="B17" s="7" t="s">
        <v>32</v>
      </c>
      <c r="C17" s="6" t="s">
        <v>458</v>
      </c>
      <c r="D17" s="6" t="s">
        <v>401</v>
      </c>
      <c r="E17" s="8" t="s">
        <v>404</v>
      </c>
      <c r="F17" s="8">
        <v>140</v>
      </c>
      <c r="G17" s="8"/>
    </row>
    <row r="18" spans="1:7" ht="25.05" customHeight="1">
      <c r="A18" s="6">
        <v>15</v>
      </c>
      <c r="B18" s="7" t="s">
        <v>32</v>
      </c>
      <c r="C18" s="6" t="s">
        <v>458</v>
      </c>
      <c r="D18" s="6" t="s">
        <v>401</v>
      </c>
      <c r="E18" s="8" t="s">
        <v>405</v>
      </c>
      <c r="F18" s="8">
        <v>60</v>
      </c>
      <c r="G18" s="8"/>
    </row>
    <row r="19" spans="1:7" ht="25.05" customHeight="1">
      <c r="A19" s="6">
        <v>16</v>
      </c>
      <c r="B19" s="7" t="s">
        <v>32</v>
      </c>
      <c r="C19" s="6" t="s">
        <v>458</v>
      </c>
      <c r="D19" s="6" t="s">
        <v>401</v>
      </c>
      <c r="E19" s="8" t="s">
        <v>406</v>
      </c>
      <c r="F19" s="8">
        <v>20</v>
      </c>
      <c r="G19" s="8"/>
    </row>
    <row r="20" spans="1:7" ht="25.05" customHeight="1">
      <c r="A20" s="6">
        <v>17</v>
      </c>
      <c r="B20" s="7" t="s">
        <v>32</v>
      </c>
      <c r="C20" s="6" t="s">
        <v>458</v>
      </c>
      <c r="D20" s="6" t="s">
        <v>401</v>
      </c>
      <c r="E20" s="8" t="s">
        <v>459</v>
      </c>
      <c r="F20" s="8">
        <v>200</v>
      </c>
      <c r="G20" s="8"/>
    </row>
    <row r="21" spans="1:7" ht="25.05" customHeight="1">
      <c r="A21" s="6">
        <v>18</v>
      </c>
      <c r="B21" s="7" t="s">
        <v>32</v>
      </c>
      <c r="C21" s="6" t="s">
        <v>458</v>
      </c>
      <c r="D21" s="6" t="s">
        <v>401</v>
      </c>
      <c r="E21" s="8" t="s">
        <v>460</v>
      </c>
      <c r="F21" s="8">
        <v>16</v>
      </c>
      <c r="G21" s="8"/>
    </row>
    <row r="22" spans="1:7" ht="25.05" customHeight="1">
      <c r="A22" s="6">
        <v>19</v>
      </c>
      <c r="B22" s="7" t="s">
        <v>32</v>
      </c>
      <c r="C22" s="6" t="s">
        <v>458</v>
      </c>
      <c r="D22" s="3" t="s">
        <v>219</v>
      </c>
      <c r="E22" s="9" t="s">
        <v>409</v>
      </c>
      <c r="F22" s="9">
        <f>SUM(F15:F21)</f>
        <v>504</v>
      </c>
      <c r="G22" s="9"/>
    </row>
    <row r="23" spans="1:7" ht="25.05" customHeight="1">
      <c r="A23" s="6">
        <v>20</v>
      </c>
      <c r="B23" s="7" t="s">
        <v>32</v>
      </c>
      <c r="C23" s="6" t="s">
        <v>458</v>
      </c>
      <c r="D23" s="6" t="s">
        <v>221</v>
      </c>
      <c r="E23" s="8" t="s">
        <v>222</v>
      </c>
      <c r="F23" s="8">
        <v>14</v>
      </c>
      <c r="G23" s="8"/>
    </row>
    <row r="24" spans="1:7" ht="25.05" customHeight="1">
      <c r="A24" s="6">
        <v>21</v>
      </c>
      <c r="B24" s="7" t="s">
        <v>32</v>
      </c>
      <c r="C24" s="6" t="s">
        <v>458</v>
      </c>
      <c r="D24" s="6" t="s">
        <v>221</v>
      </c>
      <c r="E24" s="8" t="s">
        <v>461</v>
      </c>
      <c r="F24" s="8">
        <v>22</v>
      </c>
      <c r="G24" s="8"/>
    </row>
    <row r="25" spans="1:7" ht="25.05" customHeight="1">
      <c r="A25" s="6">
        <v>22</v>
      </c>
      <c r="B25" s="7" t="s">
        <v>32</v>
      </c>
      <c r="C25" s="6" t="s">
        <v>458</v>
      </c>
      <c r="D25" s="6" t="s">
        <v>221</v>
      </c>
      <c r="E25" s="8" t="s">
        <v>224</v>
      </c>
      <c r="F25" s="8">
        <v>9</v>
      </c>
      <c r="G25" s="8"/>
    </row>
    <row r="26" spans="1:7" ht="25.05" customHeight="1">
      <c r="A26" s="6">
        <v>23</v>
      </c>
      <c r="B26" s="7" t="s">
        <v>32</v>
      </c>
      <c r="C26" s="6" t="s">
        <v>458</v>
      </c>
      <c r="D26" s="6" t="s">
        <v>221</v>
      </c>
      <c r="E26" s="8" t="s">
        <v>225</v>
      </c>
      <c r="F26" s="8">
        <v>20</v>
      </c>
      <c r="G26" s="8"/>
    </row>
    <row r="27" spans="1:7" ht="25.05" customHeight="1">
      <c r="A27" s="6">
        <v>24</v>
      </c>
      <c r="B27" s="7" t="s">
        <v>32</v>
      </c>
      <c r="C27" s="6" t="s">
        <v>458</v>
      </c>
      <c r="D27" s="6" t="s">
        <v>221</v>
      </c>
      <c r="E27" s="8" t="s">
        <v>226</v>
      </c>
      <c r="F27" s="8">
        <v>22</v>
      </c>
      <c r="G27" s="8"/>
    </row>
    <row r="28" spans="1:7" ht="25.05" customHeight="1">
      <c r="A28" s="6">
        <v>25</v>
      </c>
      <c r="B28" s="7" t="s">
        <v>32</v>
      </c>
      <c r="C28" s="6" t="s">
        <v>458</v>
      </c>
      <c r="D28" s="6" t="s">
        <v>221</v>
      </c>
      <c r="E28" s="8" t="s">
        <v>391</v>
      </c>
      <c r="F28" s="8">
        <v>20</v>
      </c>
      <c r="G28" s="8"/>
    </row>
    <row r="29" spans="1:7" ht="25.05" customHeight="1">
      <c r="A29" s="6">
        <v>26</v>
      </c>
      <c r="B29" s="7" t="s">
        <v>32</v>
      </c>
      <c r="C29" s="6" t="s">
        <v>458</v>
      </c>
      <c r="D29" s="3" t="s">
        <v>219</v>
      </c>
      <c r="E29" s="9" t="s">
        <v>228</v>
      </c>
      <c r="F29" s="10">
        <f>SUM(F23:F28)</f>
        <v>107</v>
      </c>
      <c r="G29" s="9"/>
    </row>
    <row r="30" spans="1:7" ht="25.05" customHeight="1">
      <c r="A30" s="6">
        <v>27</v>
      </c>
      <c r="B30" s="7" t="s">
        <v>32</v>
      </c>
      <c r="C30" s="6" t="s">
        <v>458</v>
      </c>
      <c r="D30" s="6" t="s">
        <v>229</v>
      </c>
      <c r="E30" s="8" t="s">
        <v>230</v>
      </c>
      <c r="F30" s="8">
        <v>14</v>
      </c>
      <c r="G30" s="8"/>
    </row>
    <row r="31" spans="1:7" ht="25.05" customHeight="1">
      <c r="A31" s="6">
        <v>28</v>
      </c>
      <c r="B31" s="7" t="s">
        <v>32</v>
      </c>
      <c r="C31" s="6" t="s">
        <v>458</v>
      </c>
      <c r="D31" s="6" t="s">
        <v>229</v>
      </c>
      <c r="E31" s="8" t="s">
        <v>231</v>
      </c>
      <c r="F31" s="8">
        <v>45</v>
      </c>
      <c r="G31" s="8"/>
    </row>
    <row r="32" spans="1:7" ht="25.05" customHeight="1">
      <c r="A32" s="6">
        <v>29</v>
      </c>
      <c r="B32" s="7" t="s">
        <v>32</v>
      </c>
      <c r="C32" s="6" t="s">
        <v>458</v>
      </c>
      <c r="D32" s="6" t="s">
        <v>229</v>
      </c>
      <c r="E32" s="8" t="s">
        <v>412</v>
      </c>
      <c r="F32" s="8">
        <v>40</v>
      </c>
      <c r="G32" s="8"/>
    </row>
    <row r="33" spans="1:7" ht="25.05" customHeight="1">
      <c r="A33" s="6">
        <v>30</v>
      </c>
      <c r="B33" s="7" t="s">
        <v>32</v>
      </c>
      <c r="C33" s="6" t="s">
        <v>458</v>
      </c>
      <c r="D33" s="6" t="s">
        <v>229</v>
      </c>
      <c r="E33" s="8" t="s">
        <v>315</v>
      </c>
      <c r="F33" s="8">
        <v>25</v>
      </c>
      <c r="G33" s="8"/>
    </row>
    <row r="34" spans="1:7" ht="25.05" customHeight="1">
      <c r="A34" s="6">
        <v>31</v>
      </c>
      <c r="B34" s="7" t="s">
        <v>32</v>
      </c>
      <c r="C34" s="6" t="s">
        <v>458</v>
      </c>
      <c r="D34" s="6" t="s">
        <v>229</v>
      </c>
      <c r="E34" s="8" t="s">
        <v>463</v>
      </c>
      <c r="F34" s="8">
        <v>30</v>
      </c>
      <c r="G34" s="8"/>
    </row>
    <row r="35" spans="1:7" ht="25.05" customHeight="1">
      <c r="A35" s="6">
        <v>32</v>
      </c>
      <c r="B35" s="7" t="s">
        <v>32</v>
      </c>
      <c r="C35" s="6" t="s">
        <v>458</v>
      </c>
      <c r="D35" s="6" t="s">
        <v>229</v>
      </c>
      <c r="E35" s="8" t="s">
        <v>464</v>
      </c>
      <c r="F35" s="8">
        <v>20</v>
      </c>
      <c r="G35" s="8"/>
    </row>
    <row r="36" spans="1:7" ht="25.05" customHeight="1">
      <c r="A36" s="6">
        <v>33</v>
      </c>
      <c r="B36" s="7" t="s">
        <v>32</v>
      </c>
      <c r="C36" s="6" t="s">
        <v>458</v>
      </c>
      <c r="D36" s="6" t="s">
        <v>229</v>
      </c>
      <c r="E36" s="8" t="s">
        <v>415</v>
      </c>
      <c r="F36" s="8">
        <v>120</v>
      </c>
      <c r="G36" s="8"/>
    </row>
    <row r="37" spans="1:7" ht="25.05" customHeight="1">
      <c r="A37" s="6">
        <v>34</v>
      </c>
      <c r="B37" s="7" t="s">
        <v>32</v>
      </c>
      <c r="C37" s="6" t="s">
        <v>458</v>
      </c>
      <c r="D37" s="6" t="s">
        <v>229</v>
      </c>
      <c r="E37" s="8" t="s">
        <v>416</v>
      </c>
      <c r="F37" s="8">
        <v>8</v>
      </c>
      <c r="G37" s="8"/>
    </row>
    <row r="38" spans="1:7" ht="25.05" customHeight="1">
      <c r="A38" s="6">
        <v>35</v>
      </c>
      <c r="B38" s="7" t="s">
        <v>32</v>
      </c>
      <c r="C38" s="6" t="s">
        <v>458</v>
      </c>
      <c r="D38" s="6" t="s">
        <v>229</v>
      </c>
      <c r="E38" s="8" t="s">
        <v>417</v>
      </c>
      <c r="F38" s="8">
        <v>10</v>
      </c>
      <c r="G38" s="8"/>
    </row>
    <row r="39" spans="1:7" ht="25.05" customHeight="1">
      <c r="A39" s="6">
        <v>36</v>
      </c>
      <c r="B39" s="7" t="s">
        <v>32</v>
      </c>
      <c r="C39" s="6" t="s">
        <v>458</v>
      </c>
      <c r="D39" s="6" t="s">
        <v>229</v>
      </c>
      <c r="E39" s="8" t="s">
        <v>431</v>
      </c>
      <c r="F39" s="8">
        <v>12</v>
      </c>
      <c r="G39" s="8"/>
    </row>
    <row r="40" spans="1:7" ht="25.05" customHeight="1">
      <c r="A40" s="6">
        <v>37</v>
      </c>
      <c r="B40" s="7" t="s">
        <v>32</v>
      </c>
      <c r="C40" s="6" t="s">
        <v>458</v>
      </c>
      <c r="D40" s="3" t="s">
        <v>219</v>
      </c>
      <c r="E40" s="9" t="s">
        <v>238</v>
      </c>
      <c r="F40" s="10">
        <f>SUM(F30:F39)</f>
        <v>324</v>
      </c>
      <c r="G40" s="9"/>
    </row>
    <row r="41" spans="1:7" ht="25.05" customHeight="1">
      <c r="A41" s="6">
        <v>38</v>
      </c>
      <c r="B41" s="7" t="s">
        <v>32</v>
      </c>
      <c r="C41" s="6" t="s">
        <v>458</v>
      </c>
      <c r="D41" s="6" t="s">
        <v>239</v>
      </c>
      <c r="E41" s="8" t="s">
        <v>240</v>
      </c>
      <c r="F41" s="8">
        <v>70</v>
      </c>
      <c r="G41" s="8"/>
    </row>
    <row r="42" spans="1:7" ht="25.05" customHeight="1">
      <c r="A42" s="6">
        <v>39</v>
      </c>
      <c r="B42" s="7" t="s">
        <v>32</v>
      </c>
      <c r="C42" s="6" t="s">
        <v>458</v>
      </c>
      <c r="D42" s="6" t="s">
        <v>239</v>
      </c>
      <c r="E42" s="8" t="s">
        <v>241</v>
      </c>
      <c r="F42" s="8">
        <v>60</v>
      </c>
      <c r="G42" s="8"/>
    </row>
    <row r="43" spans="1:7" ht="25.05" customHeight="1">
      <c r="A43" s="6">
        <v>40</v>
      </c>
      <c r="B43" s="7" t="s">
        <v>32</v>
      </c>
      <c r="C43" s="6" t="s">
        <v>458</v>
      </c>
      <c r="D43" s="3" t="s">
        <v>219</v>
      </c>
      <c r="E43" s="9" t="s">
        <v>242</v>
      </c>
      <c r="F43" s="9">
        <f>SUM(F41:F42)</f>
        <v>130</v>
      </c>
      <c r="G43" s="9"/>
    </row>
    <row r="44" spans="1:7" ht="25.05" customHeight="1">
      <c r="A44" s="6">
        <v>41</v>
      </c>
      <c r="B44" s="7" t="s">
        <v>32</v>
      </c>
      <c r="C44" s="6" t="s">
        <v>458</v>
      </c>
      <c r="D44" s="6" t="s">
        <v>259</v>
      </c>
      <c r="E44" s="8" t="s">
        <v>449</v>
      </c>
      <c r="F44" s="8">
        <v>10</v>
      </c>
      <c r="G44" s="8"/>
    </row>
    <row r="45" spans="1:7" ht="25.05" customHeight="1">
      <c r="A45" s="6">
        <v>42</v>
      </c>
      <c r="B45" s="7" t="s">
        <v>32</v>
      </c>
      <c r="C45" s="6" t="s">
        <v>458</v>
      </c>
      <c r="D45" s="6" t="s">
        <v>259</v>
      </c>
      <c r="E45" s="11" t="s">
        <v>450</v>
      </c>
      <c r="F45" s="8">
        <v>45</v>
      </c>
      <c r="G45" s="8"/>
    </row>
    <row r="46" spans="1:7" ht="25.05" customHeight="1">
      <c r="A46" s="6">
        <v>43</v>
      </c>
      <c r="B46" s="7" t="s">
        <v>32</v>
      </c>
      <c r="C46" s="6" t="s">
        <v>458</v>
      </c>
      <c r="D46" s="3" t="s">
        <v>219</v>
      </c>
      <c r="E46" s="75" t="s">
        <v>261</v>
      </c>
      <c r="F46" s="9">
        <f>SUM(F44:F45)</f>
        <v>55</v>
      </c>
      <c r="G46" s="9"/>
    </row>
    <row r="47" spans="1:7" ht="25.05" customHeight="1">
      <c r="A47" s="6">
        <v>44</v>
      </c>
      <c r="B47" s="7" t="s">
        <v>32</v>
      </c>
      <c r="C47" s="6" t="s">
        <v>458</v>
      </c>
      <c r="D47" s="6" t="s">
        <v>243</v>
      </c>
      <c r="E47" s="8" t="s">
        <v>465</v>
      </c>
      <c r="F47" s="8">
        <v>11.4</v>
      </c>
      <c r="G47" s="8"/>
    </row>
    <row r="48" spans="1:7" ht="25.05" customHeight="1">
      <c r="A48" s="6">
        <v>45</v>
      </c>
      <c r="B48" s="7" t="s">
        <v>32</v>
      </c>
      <c r="C48" s="6" t="s">
        <v>458</v>
      </c>
      <c r="D48" s="6" t="s">
        <v>243</v>
      </c>
      <c r="E48" s="8" t="s">
        <v>466</v>
      </c>
      <c r="F48" s="8">
        <v>11.4</v>
      </c>
      <c r="G48" s="8"/>
    </row>
    <row r="49" spans="1:7" ht="25.05" customHeight="1">
      <c r="A49" s="6">
        <v>46</v>
      </c>
      <c r="B49" s="7" t="s">
        <v>32</v>
      </c>
      <c r="C49" s="6" t="s">
        <v>458</v>
      </c>
      <c r="D49" s="6" t="s">
        <v>243</v>
      </c>
      <c r="E49" s="8" t="s">
        <v>467</v>
      </c>
      <c r="F49" s="8">
        <v>19.8</v>
      </c>
      <c r="G49" s="8"/>
    </row>
    <row r="50" spans="1:7" ht="25.05" customHeight="1">
      <c r="A50" s="6">
        <v>47</v>
      </c>
      <c r="B50" s="7" t="s">
        <v>32</v>
      </c>
      <c r="C50" s="6" t="s">
        <v>458</v>
      </c>
      <c r="D50" s="6" t="s">
        <v>243</v>
      </c>
      <c r="E50" s="8" t="s">
        <v>247</v>
      </c>
      <c r="F50" s="8">
        <v>2</v>
      </c>
      <c r="G50" s="8"/>
    </row>
    <row r="51" spans="1:7" ht="25.05" customHeight="1">
      <c r="A51" s="6">
        <v>48</v>
      </c>
      <c r="B51" s="7" t="s">
        <v>32</v>
      </c>
      <c r="C51" s="6" t="s">
        <v>458</v>
      </c>
      <c r="D51" s="3" t="s">
        <v>219</v>
      </c>
      <c r="E51" s="9" t="s">
        <v>248</v>
      </c>
      <c r="F51" s="9">
        <f>SUM(F47:F50)</f>
        <v>44.6</v>
      </c>
      <c r="G51" s="9"/>
    </row>
    <row r="52" spans="1:7" ht="25.05" customHeight="1">
      <c r="A52" s="6">
        <v>49</v>
      </c>
      <c r="B52" s="7" t="s">
        <v>32</v>
      </c>
      <c r="C52" s="6" t="s">
        <v>458</v>
      </c>
      <c r="D52" s="76" t="s">
        <v>249</v>
      </c>
      <c r="E52" s="8" t="s">
        <v>281</v>
      </c>
      <c r="F52" s="8">
        <v>10</v>
      </c>
      <c r="G52" s="8"/>
    </row>
    <row r="53" spans="1:7" ht="25.05" customHeight="1">
      <c r="A53" s="6">
        <v>50</v>
      </c>
      <c r="B53" s="7" t="s">
        <v>32</v>
      </c>
      <c r="C53" s="6" t="s">
        <v>458</v>
      </c>
      <c r="D53" s="76" t="s">
        <v>249</v>
      </c>
      <c r="E53" s="8" t="s">
        <v>282</v>
      </c>
      <c r="F53" s="8">
        <v>10</v>
      </c>
      <c r="G53" s="8"/>
    </row>
    <row r="54" spans="1:7" ht="25.05" customHeight="1">
      <c r="A54" s="6">
        <v>51</v>
      </c>
      <c r="B54" s="7" t="s">
        <v>32</v>
      </c>
      <c r="C54" s="6" t="s">
        <v>458</v>
      </c>
      <c r="D54" s="76" t="s">
        <v>249</v>
      </c>
      <c r="E54" s="8" t="s">
        <v>368</v>
      </c>
      <c r="F54" s="8">
        <v>45</v>
      </c>
      <c r="G54" s="8"/>
    </row>
    <row r="55" spans="1:7" ht="25.05" customHeight="1">
      <c r="A55" s="6">
        <v>52</v>
      </c>
      <c r="B55" s="7" t="s">
        <v>32</v>
      </c>
      <c r="C55" s="6" t="s">
        <v>458</v>
      </c>
      <c r="D55" s="76" t="s">
        <v>249</v>
      </c>
      <c r="E55" s="8" t="s">
        <v>284</v>
      </c>
      <c r="F55" s="8">
        <v>10</v>
      </c>
      <c r="G55" s="8"/>
    </row>
    <row r="56" spans="1:7" ht="25.05" customHeight="1">
      <c r="A56" s="6">
        <v>53</v>
      </c>
      <c r="B56" s="7" t="s">
        <v>32</v>
      </c>
      <c r="C56" s="6" t="s">
        <v>458</v>
      </c>
      <c r="D56" s="76" t="s">
        <v>249</v>
      </c>
      <c r="E56" s="8" t="s">
        <v>454</v>
      </c>
      <c r="F56" s="8">
        <v>10</v>
      </c>
      <c r="G56" s="8"/>
    </row>
    <row r="57" spans="1:7" ht="25.05" customHeight="1">
      <c r="A57" s="6">
        <v>54</v>
      </c>
      <c r="B57" s="7" t="s">
        <v>32</v>
      </c>
      <c r="C57" s="6" t="s">
        <v>458</v>
      </c>
      <c r="D57" s="3" t="s">
        <v>219</v>
      </c>
      <c r="E57" s="9" t="s">
        <v>255</v>
      </c>
      <c r="F57" s="9">
        <f>SUM(F52:F56)</f>
        <v>85</v>
      </c>
      <c r="G57" s="9"/>
    </row>
    <row r="58" spans="1:7" ht="25.05" customHeight="1">
      <c r="A58" s="6">
        <v>55</v>
      </c>
      <c r="B58" s="7" t="s">
        <v>32</v>
      </c>
      <c r="C58" s="6" t="s">
        <v>458</v>
      </c>
      <c r="D58" s="11" t="s">
        <v>256</v>
      </c>
      <c r="E58" s="11" t="s">
        <v>286</v>
      </c>
      <c r="F58" s="77">
        <v>10</v>
      </c>
      <c r="G58" s="8"/>
    </row>
    <row r="59" spans="1:7" ht="25.05" customHeight="1">
      <c r="A59" s="6">
        <v>56</v>
      </c>
      <c r="B59" s="7" t="s">
        <v>32</v>
      </c>
      <c r="C59" s="6" t="s">
        <v>458</v>
      </c>
      <c r="D59" s="3" t="s">
        <v>219</v>
      </c>
      <c r="E59" s="9" t="s">
        <v>258</v>
      </c>
      <c r="F59" s="9">
        <f>SUM(F58)</f>
        <v>10</v>
      </c>
      <c r="G59" s="9"/>
    </row>
    <row r="60" spans="1:7" ht="25.05" customHeight="1">
      <c r="A60" s="6">
        <v>57</v>
      </c>
      <c r="B60" s="7" t="s">
        <v>32</v>
      </c>
      <c r="C60" s="6" t="s">
        <v>458</v>
      </c>
      <c r="D60" s="6" t="s">
        <v>262</v>
      </c>
      <c r="E60" s="8" t="s">
        <v>425</v>
      </c>
      <c r="F60" s="8">
        <v>255</v>
      </c>
      <c r="G60" s="8"/>
    </row>
    <row r="61" spans="1:7" ht="25.05" customHeight="1">
      <c r="A61" s="6">
        <v>58</v>
      </c>
      <c r="B61" s="7" t="s">
        <v>32</v>
      </c>
      <c r="C61" s="6" t="s">
        <v>458</v>
      </c>
      <c r="D61" s="6" t="s">
        <v>262</v>
      </c>
      <c r="E61" s="8" t="s">
        <v>264</v>
      </c>
      <c r="F61" s="8">
        <v>40</v>
      </c>
      <c r="G61" s="8"/>
    </row>
    <row r="62" spans="1:7" ht="25.05" customHeight="1">
      <c r="A62" s="6">
        <v>59</v>
      </c>
      <c r="B62" s="7" t="s">
        <v>32</v>
      </c>
      <c r="C62" s="6" t="s">
        <v>458</v>
      </c>
      <c r="D62" s="6" t="s">
        <v>262</v>
      </c>
      <c r="E62" s="8" t="s">
        <v>265</v>
      </c>
      <c r="F62" s="8">
        <v>40</v>
      </c>
      <c r="G62" s="8"/>
    </row>
    <row r="63" spans="1:7" ht="25.05" customHeight="1">
      <c r="A63" s="6">
        <v>60</v>
      </c>
      <c r="B63" s="7" t="s">
        <v>32</v>
      </c>
      <c r="C63" s="6" t="s">
        <v>458</v>
      </c>
      <c r="D63" s="3" t="s">
        <v>219</v>
      </c>
      <c r="E63" s="9" t="s">
        <v>266</v>
      </c>
      <c r="F63" s="9">
        <f>SUM(F60:F62)</f>
        <v>335</v>
      </c>
      <c r="G63" s="9"/>
    </row>
    <row r="64" spans="1:7" ht="25.05" customHeight="1">
      <c r="A64" s="6">
        <v>61</v>
      </c>
      <c r="B64" s="7" t="s">
        <v>32</v>
      </c>
      <c r="C64" s="6" t="s">
        <v>458</v>
      </c>
      <c r="D64" s="3" t="s">
        <v>267</v>
      </c>
      <c r="E64" s="10" t="s">
        <v>468</v>
      </c>
      <c r="F64" s="10">
        <v>1856</v>
      </c>
      <c r="G64" s="9"/>
    </row>
    <row r="65" spans="1:7" ht="25.05" customHeight="1">
      <c r="A65" s="220" t="s">
        <v>940</v>
      </c>
      <c r="B65" s="221"/>
      <c r="C65" s="221"/>
      <c r="D65" s="221"/>
      <c r="E65" s="221"/>
      <c r="F65" s="221"/>
      <c r="G65" s="222"/>
    </row>
  </sheetData>
  <autoFilter ref="A3:G65" xr:uid="{00000000-0009-0000-0000-00003B000000}"/>
  <mergeCells count="3">
    <mergeCell ref="A1:G1"/>
    <mergeCell ref="A2:G2"/>
    <mergeCell ref="A65:G65"/>
  </mergeCells>
  <phoneticPr fontId="23" type="noConversion"/>
  <pageMargins left="0.59055118110236204" right="0.196850393700787" top="0.31496062992126" bottom="0.511811023622047" header="0.31496062992126" footer="0.31496062992126"/>
  <pageSetup paperSize="9" orientation="portrait" r:id="rId1"/>
  <headerFooter>
    <oddFooter>&amp;C&amp;8第 &amp;P 页，共 &amp;N 页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53"/>
  <sheetViews>
    <sheetView view="pageBreakPreview" topLeftCell="A37" zoomScale="115" zoomScaleNormal="100" workbookViewId="0">
      <selection activeCell="F49" sqref="F49"/>
    </sheetView>
  </sheetViews>
  <sheetFormatPr defaultColWidth="9" defaultRowHeight="15.75"/>
  <cols>
    <col min="1" max="1" width="4.06640625" style="13" customWidth="1"/>
    <col min="2" max="2" width="8.9296875" style="14" customWidth="1"/>
    <col min="3" max="3" width="10.59765625" style="13" customWidth="1"/>
    <col min="4" max="4" width="10.46484375" style="13" customWidth="1"/>
    <col min="5" max="5" width="46.265625" style="13" customWidth="1"/>
    <col min="6" max="6" width="7.796875" style="15" customWidth="1"/>
    <col min="7" max="7" width="8.53125" style="13" customWidth="1"/>
    <col min="8" max="16384" width="9" style="16"/>
  </cols>
  <sheetData>
    <row r="1" spans="1:7" ht="26" customHeight="1">
      <c r="A1" s="229" t="s">
        <v>941</v>
      </c>
      <c r="B1" s="229"/>
      <c r="C1" s="229"/>
      <c r="D1" s="229"/>
      <c r="E1" s="229"/>
      <c r="F1" s="229"/>
      <c r="G1" s="229"/>
    </row>
    <row r="2" spans="1:7" ht="24" customHeight="1">
      <c r="A2" s="241" t="s">
        <v>942</v>
      </c>
      <c r="B2" s="241"/>
      <c r="C2" s="241"/>
      <c r="D2" s="241"/>
      <c r="E2" s="241"/>
      <c r="F2" s="241"/>
      <c r="G2" s="241"/>
    </row>
    <row r="3" spans="1:7" s="12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20" t="s">
        <v>179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23</v>
      </c>
      <c r="C5" s="20" t="s">
        <v>179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23</v>
      </c>
      <c r="C6" s="20" t="s">
        <v>179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23</v>
      </c>
      <c r="C7" s="20" t="s">
        <v>179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23</v>
      </c>
      <c r="C8" s="20" t="s">
        <v>179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23</v>
      </c>
      <c r="C9" s="20" t="s">
        <v>179</v>
      </c>
      <c r="D9" s="20" t="s">
        <v>209</v>
      </c>
      <c r="E9" s="22" t="s">
        <v>312</v>
      </c>
      <c r="F9" s="22">
        <v>10</v>
      </c>
      <c r="G9" s="22"/>
    </row>
    <row r="10" spans="1:7" ht="24" customHeight="1">
      <c r="A10" s="20">
        <v>7</v>
      </c>
      <c r="B10" s="21" t="s">
        <v>23</v>
      </c>
      <c r="C10" s="20" t="s">
        <v>179</v>
      </c>
      <c r="D10" s="20" t="s">
        <v>209</v>
      </c>
      <c r="E10" s="22" t="s">
        <v>216</v>
      </c>
      <c r="F10" s="22">
        <v>35</v>
      </c>
      <c r="G10" s="22"/>
    </row>
    <row r="11" spans="1:7" ht="24" customHeight="1">
      <c r="A11" s="20">
        <v>8</v>
      </c>
      <c r="B11" s="21" t="s">
        <v>23</v>
      </c>
      <c r="C11" s="20" t="s">
        <v>179</v>
      </c>
      <c r="D11" s="20" t="s">
        <v>209</v>
      </c>
      <c r="E11" s="22" t="s">
        <v>292</v>
      </c>
      <c r="F11" s="22">
        <v>12</v>
      </c>
      <c r="G11" s="22"/>
    </row>
    <row r="12" spans="1:7" ht="24" customHeight="1">
      <c r="A12" s="20">
        <v>9</v>
      </c>
      <c r="B12" s="21" t="s">
        <v>23</v>
      </c>
      <c r="C12" s="20" t="s">
        <v>179</v>
      </c>
      <c r="D12" s="20" t="s">
        <v>209</v>
      </c>
      <c r="E12" s="22" t="s">
        <v>313</v>
      </c>
      <c r="F12" s="22">
        <v>55</v>
      </c>
      <c r="G12" s="22"/>
    </row>
    <row r="13" spans="1:7" ht="24" customHeight="1">
      <c r="A13" s="20">
        <v>10</v>
      </c>
      <c r="B13" s="21" t="s">
        <v>23</v>
      </c>
      <c r="C13" s="20" t="s">
        <v>179</v>
      </c>
      <c r="D13" s="20" t="s">
        <v>209</v>
      </c>
      <c r="E13" s="22" t="s">
        <v>218</v>
      </c>
      <c r="F13" s="22">
        <v>10</v>
      </c>
      <c r="G13" s="22"/>
    </row>
    <row r="14" spans="1:7" ht="24" customHeight="1">
      <c r="A14" s="20">
        <v>11</v>
      </c>
      <c r="B14" s="21" t="s">
        <v>23</v>
      </c>
      <c r="C14" s="20" t="s">
        <v>179</v>
      </c>
      <c r="D14" s="17" t="s">
        <v>219</v>
      </c>
      <c r="E14" s="36" t="s">
        <v>220</v>
      </c>
      <c r="F14" s="36">
        <f>SUM(F4:F13)</f>
        <v>250</v>
      </c>
      <c r="G14" s="36"/>
    </row>
    <row r="15" spans="1:7" ht="24" customHeight="1">
      <c r="A15" s="20">
        <v>12</v>
      </c>
      <c r="B15" s="21" t="s">
        <v>23</v>
      </c>
      <c r="C15" s="20" t="s">
        <v>179</v>
      </c>
      <c r="D15" s="20" t="s">
        <v>221</v>
      </c>
      <c r="E15" s="22" t="s">
        <v>222</v>
      </c>
      <c r="F15" s="22">
        <v>14</v>
      </c>
      <c r="G15" s="22"/>
    </row>
    <row r="16" spans="1:7" ht="24" customHeight="1">
      <c r="A16" s="20">
        <v>13</v>
      </c>
      <c r="B16" s="21" t="s">
        <v>23</v>
      </c>
      <c r="C16" s="20" t="s">
        <v>179</v>
      </c>
      <c r="D16" s="20" t="s">
        <v>221</v>
      </c>
      <c r="E16" s="22" t="s">
        <v>223</v>
      </c>
      <c r="F16" s="22">
        <v>22</v>
      </c>
      <c r="G16" s="22"/>
    </row>
    <row r="17" spans="1:7" ht="24" customHeight="1">
      <c r="A17" s="20">
        <v>14</v>
      </c>
      <c r="B17" s="21" t="s">
        <v>23</v>
      </c>
      <c r="C17" s="20" t="s">
        <v>179</v>
      </c>
      <c r="D17" s="20" t="s">
        <v>221</v>
      </c>
      <c r="E17" s="22" t="s">
        <v>314</v>
      </c>
      <c r="F17" s="22">
        <v>9</v>
      </c>
      <c r="G17" s="22"/>
    </row>
    <row r="18" spans="1:7" ht="24" customHeight="1">
      <c r="A18" s="20">
        <v>15</v>
      </c>
      <c r="B18" s="21" t="s">
        <v>23</v>
      </c>
      <c r="C18" s="20" t="s">
        <v>179</v>
      </c>
      <c r="D18" s="20" t="s">
        <v>221</v>
      </c>
      <c r="E18" s="22" t="s">
        <v>225</v>
      </c>
      <c r="F18" s="22">
        <v>20</v>
      </c>
      <c r="G18" s="22"/>
    </row>
    <row r="19" spans="1:7" ht="24" customHeight="1">
      <c r="A19" s="20">
        <v>16</v>
      </c>
      <c r="B19" s="21" t="s">
        <v>23</v>
      </c>
      <c r="C19" s="20" t="s">
        <v>179</v>
      </c>
      <c r="D19" s="20" t="s">
        <v>221</v>
      </c>
      <c r="E19" s="22" t="s">
        <v>226</v>
      </c>
      <c r="F19" s="22">
        <v>22</v>
      </c>
      <c r="G19" s="22"/>
    </row>
    <row r="20" spans="1:7" ht="24" customHeight="1">
      <c r="A20" s="20">
        <v>17</v>
      </c>
      <c r="B20" s="21" t="s">
        <v>23</v>
      </c>
      <c r="C20" s="20" t="s">
        <v>179</v>
      </c>
      <c r="D20" s="20" t="s">
        <v>221</v>
      </c>
      <c r="E20" s="22" t="s">
        <v>227</v>
      </c>
      <c r="F20" s="22">
        <v>20</v>
      </c>
      <c r="G20" s="22"/>
    </row>
    <row r="21" spans="1:7" ht="24" customHeight="1">
      <c r="A21" s="20">
        <v>18</v>
      </c>
      <c r="B21" s="21" t="s">
        <v>23</v>
      </c>
      <c r="C21" s="20" t="s">
        <v>179</v>
      </c>
      <c r="D21" s="17" t="s">
        <v>219</v>
      </c>
      <c r="E21" s="36" t="s">
        <v>228</v>
      </c>
      <c r="F21" s="36">
        <f>SUM(F15:F20)</f>
        <v>107</v>
      </c>
      <c r="G21" s="36"/>
    </row>
    <row r="22" spans="1:7" ht="24" customHeight="1">
      <c r="A22" s="20">
        <v>19</v>
      </c>
      <c r="B22" s="21" t="s">
        <v>23</v>
      </c>
      <c r="C22" s="20" t="s">
        <v>179</v>
      </c>
      <c r="D22" s="20" t="s">
        <v>229</v>
      </c>
      <c r="E22" s="22" t="s">
        <v>230</v>
      </c>
      <c r="F22" s="22">
        <v>14</v>
      </c>
      <c r="G22" s="22"/>
    </row>
    <row r="23" spans="1:7" ht="24" customHeight="1">
      <c r="A23" s="20">
        <v>20</v>
      </c>
      <c r="B23" s="21" t="s">
        <v>23</v>
      </c>
      <c r="C23" s="20" t="s">
        <v>179</v>
      </c>
      <c r="D23" s="20" t="s">
        <v>229</v>
      </c>
      <c r="E23" s="22" t="s">
        <v>231</v>
      </c>
      <c r="F23" s="22">
        <v>32</v>
      </c>
      <c r="G23" s="22"/>
    </row>
    <row r="24" spans="1:7" ht="24" customHeight="1">
      <c r="A24" s="20">
        <v>21</v>
      </c>
      <c r="B24" s="21" t="s">
        <v>23</v>
      </c>
      <c r="C24" s="20" t="s">
        <v>179</v>
      </c>
      <c r="D24" s="20" t="s">
        <v>229</v>
      </c>
      <c r="E24" s="22" t="s">
        <v>232</v>
      </c>
      <c r="F24" s="22">
        <v>18</v>
      </c>
      <c r="G24" s="22"/>
    </row>
    <row r="25" spans="1:7" ht="24" customHeight="1">
      <c r="A25" s="20">
        <v>22</v>
      </c>
      <c r="B25" s="21" t="s">
        <v>23</v>
      </c>
      <c r="C25" s="20" t="s">
        <v>179</v>
      </c>
      <c r="D25" s="20" t="s">
        <v>229</v>
      </c>
      <c r="E25" s="22" t="s">
        <v>315</v>
      </c>
      <c r="F25" s="22">
        <v>25</v>
      </c>
      <c r="G25" s="22"/>
    </row>
    <row r="26" spans="1:7" ht="24" customHeight="1">
      <c r="A26" s="20">
        <v>23</v>
      </c>
      <c r="B26" s="21" t="s">
        <v>23</v>
      </c>
      <c r="C26" s="20" t="s">
        <v>179</v>
      </c>
      <c r="D26" s="20" t="s">
        <v>229</v>
      </c>
      <c r="E26" s="22" t="s">
        <v>237</v>
      </c>
      <c r="F26" s="22">
        <v>8</v>
      </c>
      <c r="G26" s="22"/>
    </row>
    <row r="27" spans="1:7" ht="24" customHeight="1">
      <c r="A27" s="20">
        <v>24</v>
      </c>
      <c r="B27" s="21" t="s">
        <v>23</v>
      </c>
      <c r="C27" s="20" t="s">
        <v>179</v>
      </c>
      <c r="D27" s="17" t="s">
        <v>219</v>
      </c>
      <c r="E27" s="36" t="s">
        <v>238</v>
      </c>
      <c r="F27" s="36">
        <f>SUM(F22:F26)</f>
        <v>97</v>
      </c>
      <c r="G27" s="36"/>
    </row>
    <row r="28" spans="1:7" ht="24" customHeight="1">
      <c r="A28" s="20">
        <v>25</v>
      </c>
      <c r="B28" s="21" t="s">
        <v>23</v>
      </c>
      <c r="C28" s="20" t="s">
        <v>179</v>
      </c>
      <c r="D28" s="20" t="s">
        <v>239</v>
      </c>
      <c r="E28" s="22" t="s">
        <v>240</v>
      </c>
      <c r="F28" s="22">
        <v>70</v>
      </c>
      <c r="G28" s="22"/>
    </row>
    <row r="29" spans="1:7" ht="24" customHeight="1">
      <c r="A29" s="20">
        <v>26</v>
      </c>
      <c r="B29" s="21" t="s">
        <v>23</v>
      </c>
      <c r="C29" s="20" t="s">
        <v>179</v>
      </c>
      <c r="D29" s="20" t="s">
        <v>239</v>
      </c>
      <c r="E29" s="22" t="s">
        <v>241</v>
      </c>
      <c r="F29" s="22">
        <v>60</v>
      </c>
      <c r="G29" s="22"/>
    </row>
    <row r="30" spans="1:7" ht="24" customHeight="1">
      <c r="A30" s="20">
        <v>27</v>
      </c>
      <c r="B30" s="21" t="s">
        <v>23</v>
      </c>
      <c r="C30" s="20" t="s">
        <v>179</v>
      </c>
      <c r="D30" s="17" t="s">
        <v>219</v>
      </c>
      <c r="E30" s="36" t="s">
        <v>242</v>
      </c>
      <c r="F30" s="36">
        <f>SUM(F28:F29)</f>
        <v>130</v>
      </c>
      <c r="G30" s="36"/>
    </row>
    <row r="31" spans="1:7" ht="24" customHeight="1">
      <c r="A31" s="20">
        <v>28</v>
      </c>
      <c r="B31" s="21" t="s">
        <v>23</v>
      </c>
      <c r="C31" s="20" t="s">
        <v>179</v>
      </c>
      <c r="D31" s="20" t="s">
        <v>259</v>
      </c>
      <c r="E31" s="22" t="s">
        <v>317</v>
      </c>
      <c r="F31" s="22">
        <v>10</v>
      </c>
      <c r="G31" s="22"/>
    </row>
    <row r="32" spans="1:7" ht="24" customHeight="1">
      <c r="A32" s="20">
        <v>29</v>
      </c>
      <c r="B32" s="21" t="s">
        <v>23</v>
      </c>
      <c r="C32" s="20" t="s">
        <v>179</v>
      </c>
      <c r="D32" s="20" t="s">
        <v>259</v>
      </c>
      <c r="E32" s="22" t="s">
        <v>318</v>
      </c>
      <c r="F32" s="22">
        <v>5</v>
      </c>
      <c r="G32" s="22"/>
    </row>
    <row r="33" spans="1:7" ht="24" customHeight="1">
      <c r="A33" s="20">
        <v>30</v>
      </c>
      <c r="B33" s="21" t="s">
        <v>23</v>
      </c>
      <c r="C33" s="20" t="s">
        <v>179</v>
      </c>
      <c r="D33" s="17" t="s">
        <v>219</v>
      </c>
      <c r="E33" s="36" t="s">
        <v>261</v>
      </c>
      <c r="F33" s="36">
        <f>SUM(F31:F32)</f>
        <v>15</v>
      </c>
      <c r="G33" s="36"/>
    </row>
    <row r="34" spans="1:7" ht="24" customHeight="1">
      <c r="A34" s="20">
        <v>31</v>
      </c>
      <c r="B34" s="21" t="s">
        <v>23</v>
      </c>
      <c r="C34" s="20" t="s">
        <v>179</v>
      </c>
      <c r="D34" s="20" t="s">
        <v>243</v>
      </c>
      <c r="E34" s="22" t="s">
        <v>319</v>
      </c>
      <c r="F34" s="22">
        <v>6</v>
      </c>
      <c r="G34" s="22"/>
    </row>
    <row r="35" spans="1:7" ht="24" customHeight="1">
      <c r="A35" s="20">
        <v>32</v>
      </c>
      <c r="B35" s="21" t="s">
        <v>23</v>
      </c>
      <c r="C35" s="20" t="s">
        <v>179</v>
      </c>
      <c r="D35" s="20" t="s">
        <v>243</v>
      </c>
      <c r="E35" s="22" t="s">
        <v>320</v>
      </c>
      <c r="F35" s="22">
        <v>6</v>
      </c>
      <c r="G35" s="22"/>
    </row>
    <row r="36" spans="1:7" ht="24" customHeight="1">
      <c r="A36" s="20">
        <v>33</v>
      </c>
      <c r="B36" s="21" t="s">
        <v>23</v>
      </c>
      <c r="C36" s="20" t="s">
        <v>179</v>
      </c>
      <c r="D36" s="20" t="s">
        <v>243</v>
      </c>
      <c r="E36" s="22" t="s">
        <v>321</v>
      </c>
      <c r="F36" s="22">
        <v>10.56</v>
      </c>
      <c r="G36" s="22"/>
    </row>
    <row r="37" spans="1:7" ht="24" customHeight="1">
      <c r="A37" s="20">
        <v>34</v>
      </c>
      <c r="B37" s="21" t="s">
        <v>23</v>
      </c>
      <c r="C37" s="20" t="s">
        <v>179</v>
      </c>
      <c r="D37" s="20" t="s">
        <v>243</v>
      </c>
      <c r="E37" s="22" t="s">
        <v>247</v>
      </c>
      <c r="F37" s="22">
        <v>2</v>
      </c>
      <c r="G37" s="22"/>
    </row>
    <row r="38" spans="1:7" ht="24" customHeight="1">
      <c r="A38" s="20">
        <v>35</v>
      </c>
      <c r="B38" s="21" t="s">
        <v>23</v>
      </c>
      <c r="C38" s="20" t="s">
        <v>179</v>
      </c>
      <c r="D38" s="17" t="s">
        <v>219</v>
      </c>
      <c r="E38" s="36" t="s">
        <v>248</v>
      </c>
      <c r="F38" s="36">
        <f>SUM(F34:F37)</f>
        <v>24.56</v>
      </c>
      <c r="G38" s="36"/>
    </row>
    <row r="39" spans="1:7" ht="24" customHeight="1">
      <c r="A39" s="20">
        <v>36</v>
      </c>
      <c r="B39" s="21" t="s">
        <v>23</v>
      </c>
      <c r="C39" s="20" t="s">
        <v>179</v>
      </c>
      <c r="D39" s="20" t="s">
        <v>249</v>
      </c>
      <c r="E39" s="22" t="s">
        <v>304</v>
      </c>
      <c r="F39" s="22">
        <v>7</v>
      </c>
      <c r="G39" s="22"/>
    </row>
    <row r="40" spans="1:7" ht="24" customHeight="1">
      <c r="A40" s="20">
        <v>37</v>
      </c>
      <c r="B40" s="21" t="s">
        <v>23</v>
      </c>
      <c r="C40" s="20" t="s">
        <v>179</v>
      </c>
      <c r="D40" s="20" t="s">
        <v>249</v>
      </c>
      <c r="E40" s="22" t="s">
        <v>251</v>
      </c>
      <c r="F40" s="22">
        <v>7</v>
      </c>
      <c r="G40" s="22"/>
    </row>
    <row r="41" spans="1:7" ht="24" customHeight="1">
      <c r="A41" s="20">
        <v>38</v>
      </c>
      <c r="B41" s="21" t="s">
        <v>23</v>
      </c>
      <c r="C41" s="20" t="s">
        <v>179</v>
      </c>
      <c r="D41" s="20" t="s">
        <v>249</v>
      </c>
      <c r="E41" s="22" t="s">
        <v>943</v>
      </c>
      <c r="F41" s="22">
        <v>42</v>
      </c>
      <c r="G41" s="22"/>
    </row>
    <row r="42" spans="1:7" ht="24" customHeight="1">
      <c r="A42" s="20">
        <v>39</v>
      </c>
      <c r="B42" s="21" t="s">
        <v>23</v>
      </c>
      <c r="C42" s="20" t="s">
        <v>179</v>
      </c>
      <c r="D42" s="20" t="s">
        <v>249</v>
      </c>
      <c r="E42" s="22" t="s">
        <v>253</v>
      </c>
      <c r="F42" s="22">
        <v>7</v>
      </c>
      <c r="G42" s="22"/>
    </row>
    <row r="43" spans="1:7" ht="24" customHeight="1">
      <c r="A43" s="20">
        <v>40</v>
      </c>
      <c r="B43" s="21" t="s">
        <v>23</v>
      </c>
      <c r="C43" s="20" t="s">
        <v>179</v>
      </c>
      <c r="D43" s="20" t="s">
        <v>249</v>
      </c>
      <c r="E43" s="22" t="s">
        <v>322</v>
      </c>
      <c r="F43" s="22">
        <v>3</v>
      </c>
      <c r="G43" s="22"/>
    </row>
    <row r="44" spans="1:7" ht="24" customHeight="1">
      <c r="A44" s="20">
        <v>41</v>
      </c>
      <c r="B44" s="21" t="s">
        <v>23</v>
      </c>
      <c r="C44" s="20" t="s">
        <v>179</v>
      </c>
      <c r="D44" s="20" t="s">
        <v>249</v>
      </c>
      <c r="E44" s="22" t="s">
        <v>944</v>
      </c>
      <c r="F44" s="51">
        <v>20</v>
      </c>
      <c r="G44" s="22"/>
    </row>
    <row r="45" spans="1:7" ht="24" customHeight="1">
      <c r="A45" s="20">
        <v>42</v>
      </c>
      <c r="B45" s="21" t="s">
        <v>23</v>
      </c>
      <c r="C45" s="20" t="s">
        <v>179</v>
      </c>
      <c r="D45" s="17" t="s">
        <v>219</v>
      </c>
      <c r="E45" s="36" t="s">
        <v>255</v>
      </c>
      <c r="F45" s="36">
        <f>SUM(F39:G44)</f>
        <v>86</v>
      </c>
      <c r="G45" s="36"/>
    </row>
    <row r="46" spans="1:7" ht="24" customHeight="1">
      <c r="A46" s="20">
        <v>43</v>
      </c>
      <c r="B46" s="21" t="s">
        <v>23</v>
      </c>
      <c r="C46" s="20" t="s">
        <v>179</v>
      </c>
      <c r="D46" s="20" t="s">
        <v>262</v>
      </c>
      <c r="E46" s="22" t="s">
        <v>263</v>
      </c>
      <c r="F46" s="22">
        <v>75</v>
      </c>
      <c r="G46" s="22"/>
    </row>
    <row r="47" spans="1:7" ht="24" customHeight="1">
      <c r="A47" s="20">
        <v>44</v>
      </c>
      <c r="B47" s="21" t="s">
        <v>23</v>
      </c>
      <c r="C47" s="20" t="s">
        <v>179</v>
      </c>
      <c r="D47" s="20" t="s">
        <v>262</v>
      </c>
      <c r="E47" s="22" t="s">
        <v>316</v>
      </c>
      <c r="F47" s="22">
        <v>40</v>
      </c>
      <c r="G47" s="22"/>
    </row>
    <row r="48" spans="1:7" ht="24" customHeight="1">
      <c r="A48" s="20">
        <v>45</v>
      </c>
      <c r="B48" s="21" t="s">
        <v>23</v>
      </c>
      <c r="C48" s="20" t="s">
        <v>179</v>
      </c>
      <c r="D48" s="20" t="s">
        <v>262</v>
      </c>
      <c r="E48" s="22" t="s">
        <v>265</v>
      </c>
      <c r="F48" s="22">
        <v>20</v>
      </c>
      <c r="G48" s="22"/>
    </row>
    <row r="49" spans="1:7" ht="24" customHeight="1">
      <c r="A49" s="20">
        <v>46</v>
      </c>
      <c r="B49" s="21" t="s">
        <v>23</v>
      </c>
      <c r="C49" s="20" t="s">
        <v>179</v>
      </c>
      <c r="D49" s="17" t="s">
        <v>219</v>
      </c>
      <c r="E49" s="36" t="s">
        <v>266</v>
      </c>
      <c r="F49" s="36">
        <f>SUM(F46:F48)</f>
        <v>135</v>
      </c>
      <c r="G49" s="36"/>
    </row>
    <row r="50" spans="1:7" ht="24" customHeight="1">
      <c r="A50" s="20">
        <v>47</v>
      </c>
      <c r="B50" s="21" t="s">
        <v>23</v>
      </c>
      <c r="C50" s="20" t="s">
        <v>179</v>
      </c>
      <c r="D50" s="17" t="s">
        <v>267</v>
      </c>
      <c r="E50" s="35" t="s">
        <v>945</v>
      </c>
      <c r="F50" s="35">
        <v>844.5</v>
      </c>
      <c r="G50" s="64"/>
    </row>
    <row r="51" spans="1:7" ht="24" customHeight="1">
      <c r="A51" s="231" t="s">
        <v>946</v>
      </c>
      <c r="B51" s="232"/>
      <c r="C51" s="232"/>
      <c r="D51" s="232"/>
      <c r="E51" s="232"/>
      <c r="F51" s="232"/>
      <c r="G51" s="233"/>
    </row>
    <row r="52" spans="1:7">
      <c r="F52" s="13"/>
    </row>
    <row r="53" spans="1:7">
      <c r="F53" s="13"/>
    </row>
  </sheetData>
  <autoFilter ref="A3:G51" xr:uid="{00000000-0009-0000-0000-00003C000000}"/>
  <mergeCells count="3">
    <mergeCell ref="A1:G1"/>
    <mergeCell ref="A2:G2"/>
    <mergeCell ref="A51:G51"/>
  </mergeCells>
  <phoneticPr fontId="23" type="noConversion"/>
  <pageMargins left="0.59055118110236204" right="0.196850393700787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5"/>
  <sheetViews>
    <sheetView view="pageBreakPreview" zoomScale="115" zoomScaleNormal="115" workbookViewId="0">
      <selection activeCell="E12" sqref="E12"/>
    </sheetView>
  </sheetViews>
  <sheetFormatPr defaultColWidth="9" defaultRowHeight="15.75"/>
  <cols>
    <col min="1" max="1" width="4.06640625" style="13" customWidth="1"/>
    <col min="2" max="2" width="10.06640625" style="14" customWidth="1"/>
    <col min="3" max="3" width="14.19921875" style="13" customWidth="1"/>
    <col min="4" max="4" width="10.33203125" style="13" customWidth="1"/>
    <col min="5" max="5" width="42.73046875" style="13" customWidth="1"/>
    <col min="6" max="6" width="8" style="13" customWidth="1"/>
    <col min="7" max="7" width="8.73046875" style="13" customWidth="1"/>
    <col min="8" max="16384" width="9" style="16"/>
  </cols>
  <sheetData>
    <row r="1" spans="1:7" ht="27" customHeight="1">
      <c r="A1" s="229" t="s">
        <v>947</v>
      </c>
      <c r="B1" s="229"/>
      <c r="C1" s="229"/>
      <c r="D1" s="229"/>
      <c r="E1" s="229"/>
      <c r="F1" s="243"/>
      <c r="G1" s="243"/>
    </row>
    <row r="2" spans="1:7" ht="24" customHeight="1">
      <c r="A2" s="230" t="s">
        <v>948</v>
      </c>
      <c r="B2" s="230"/>
      <c r="C2" s="230"/>
      <c r="D2" s="230"/>
      <c r="E2" s="230"/>
      <c r="F2" s="230"/>
      <c r="G2" s="230"/>
    </row>
    <row r="3" spans="1:7" s="12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32</v>
      </c>
      <c r="C4" s="20" t="s">
        <v>181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32</v>
      </c>
      <c r="C5" s="20" t="s">
        <v>181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32</v>
      </c>
      <c r="C6" s="20" t="s">
        <v>181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32</v>
      </c>
      <c r="C7" s="20" t="s">
        <v>181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32</v>
      </c>
      <c r="C8" s="20" t="s">
        <v>181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32</v>
      </c>
      <c r="C9" s="20" t="s">
        <v>181</v>
      </c>
      <c r="D9" s="20" t="s">
        <v>209</v>
      </c>
      <c r="E9" s="22" t="s">
        <v>312</v>
      </c>
      <c r="F9" s="22">
        <v>10</v>
      </c>
      <c r="G9" s="22"/>
    </row>
    <row r="10" spans="1:7" ht="24" customHeight="1">
      <c r="A10" s="20">
        <v>7</v>
      </c>
      <c r="B10" s="21" t="s">
        <v>32</v>
      </c>
      <c r="C10" s="20" t="s">
        <v>181</v>
      </c>
      <c r="D10" s="20" t="s">
        <v>209</v>
      </c>
      <c r="E10" s="22" t="s">
        <v>216</v>
      </c>
      <c r="F10" s="22">
        <v>40</v>
      </c>
      <c r="G10" s="22"/>
    </row>
    <row r="11" spans="1:7" ht="24" customHeight="1">
      <c r="A11" s="20">
        <v>8</v>
      </c>
      <c r="B11" s="21" t="s">
        <v>32</v>
      </c>
      <c r="C11" s="20" t="s">
        <v>181</v>
      </c>
      <c r="D11" s="20" t="s">
        <v>209</v>
      </c>
      <c r="E11" s="22" t="s">
        <v>217</v>
      </c>
      <c r="F11" s="22">
        <v>55</v>
      </c>
      <c r="G11" s="22"/>
    </row>
    <row r="12" spans="1:7" ht="24" customHeight="1">
      <c r="A12" s="20">
        <v>9</v>
      </c>
      <c r="B12" s="21" t="s">
        <v>32</v>
      </c>
      <c r="C12" s="20" t="s">
        <v>181</v>
      </c>
      <c r="D12" s="20" t="s">
        <v>209</v>
      </c>
      <c r="E12" s="22" t="s">
        <v>400</v>
      </c>
      <c r="F12" s="22">
        <v>10</v>
      </c>
      <c r="G12" s="22"/>
    </row>
    <row r="13" spans="1:7" ht="24" customHeight="1">
      <c r="A13" s="20">
        <v>10</v>
      </c>
      <c r="B13" s="21" t="s">
        <v>32</v>
      </c>
      <c r="C13" s="20" t="s">
        <v>181</v>
      </c>
      <c r="D13" s="17" t="s">
        <v>219</v>
      </c>
      <c r="E13" s="36" t="s">
        <v>220</v>
      </c>
      <c r="F13" s="36">
        <f>SUM(F4:F12)</f>
        <v>243</v>
      </c>
      <c r="G13" s="36"/>
    </row>
    <row r="14" spans="1:7" ht="24" customHeight="1">
      <c r="A14" s="20">
        <v>11</v>
      </c>
      <c r="B14" s="21" t="s">
        <v>32</v>
      </c>
      <c r="C14" s="20" t="s">
        <v>181</v>
      </c>
      <c r="D14" s="20" t="s">
        <v>401</v>
      </c>
      <c r="E14" s="22" t="s">
        <v>402</v>
      </c>
      <c r="F14" s="22">
        <v>34</v>
      </c>
      <c r="G14" s="22"/>
    </row>
    <row r="15" spans="1:7" ht="24" customHeight="1">
      <c r="A15" s="20">
        <v>12</v>
      </c>
      <c r="B15" s="21" t="s">
        <v>32</v>
      </c>
      <c r="C15" s="20" t="s">
        <v>181</v>
      </c>
      <c r="D15" s="20" t="s">
        <v>401</v>
      </c>
      <c r="E15" s="22" t="s">
        <v>403</v>
      </c>
      <c r="F15" s="22">
        <v>34</v>
      </c>
      <c r="G15" s="22"/>
    </row>
    <row r="16" spans="1:7" ht="24" customHeight="1">
      <c r="A16" s="20">
        <v>13</v>
      </c>
      <c r="B16" s="21" t="s">
        <v>32</v>
      </c>
      <c r="C16" s="20" t="s">
        <v>181</v>
      </c>
      <c r="D16" s="20" t="s">
        <v>401</v>
      </c>
      <c r="E16" s="22" t="s">
        <v>404</v>
      </c>
      <c r="F16" s="22">
        <v>140</v>
      </c>
      <c r="G16" s="22"/>
    </row>
    <row r="17" spans="1:7" ht="24" customHeight="1">
      <c r="A17" s="20">
        <v>14</v>
      </c>
      <c r="B17" s="21" t="s">
        <v>32</v>
      </c>
      <c r="C17" s="20" t="s">
        <v>181</v>
      </c>
      <c r="D17" s="20" t="s">
        <v>401</v>
      </c>
      <c r="E17" s="22" t="s">
        <v>405</v>
      </c>
      <c r="F17" s="22">
        <v>60</v>
      </c>
      <c r="G17" s="22"/>
    </row>
    <row r="18" spans="1:7" ht="24" customHeight="1">
      <c r="A18" s="20">
        <v>15</v>
      </c>
      <c r="B18" s="21" t="s">
        <v>32</v>
      </c>
      <c r="C18" s="20" t="s">
        <v>181</v>
      </c>
      <c r="D18" s="20" t="s">
        <v>401</v>
      </c>
      <c r="E18" s="22" t="s">
        <v>407</v>
      </c>
      <c r="F18" s="22">
        <v>200</v>
      </c>
      <c r="G18" s="22"/>
    </row>
    <row r="19" spans="1:7" ht="24" customHeight="1">
      <c r="A19" s="20">
        <v>16</v>
      </c>
      <c r="B19" s="21" t="s">
        <v>32</v>
      </c>
      <c r="C19" s="20" t="s">
        <v>181</v>
      </c>
      <c r="D19" s="20" t="s">
        <v>401</v>
      </c>
      <c r="E19" s="22" t="s">
        <v>408</v>
      </c>
      <c r="F19" s="22">
        <v>16</v>
      </c>
      <c r="G19" s="22"/>
    </row>
    <row r="20" spans="1:7" ht="24" customHeight="1">
      <c r="A20" s="20">
        <v>17</v>
      </c>
      <c r="B20" s="21" t="s">
        <v>32</v>
      </c>
      <c r="C20" s="20" t="s">
        <v>181</v>
      </c>
      <c r="D20" s="17" t="s">
        <v>219</v>
      </c>
      <c r="E20" s="36" t="s">
        <v>409</v>
      </c>
      <c r="F20" s="36">
        <f>SUM(F14:F19)</f>
        <v>484</v>
      </c>
      <c r="G20" s="36"/>
    </row>
    <row r="21" spans="1:7" ht="24" customHeight="1">
      <c r="A21" s="20">
        <v>18</v>
      </c>
      <c r="B21" s="21" t="s">
        <v>32</v>
      </c>
      <c r="C21" s="20" t="s">
        <v>181</v>
      </c>
      <c r="D21" s="20" t="s">
        <v>221</v>
      </c>
      <c r="E21" s="22" t="s">
        <v>222</v>
      </c>
      <c r="F21" s="22">
        <v>14</v>
      </c>
      <c r="G21" s="22"/>
    </row>
    <row r="22" spans="1:7" ht="24" customHeight="1">
      <c r="A22" s="20">
        <v>19</v>
      </c>
      <c r="B22" s="21" t="s">
        <v>32</v>
      </c>
      <c r="C22" s="20" t="s">
        <v>181</v>
      </c>
      <c r="D22" s="20" t="s">
        <v>221</v>
      </c>
      <c r="E22" s="22" t="s">
        <v>223</v>
      </c>
      <c r="F22" s="22">
        <v>22</v>
      </c>
      <c r="G22" s="22"/>
    </row>
    <row r="23" spans="1:7" ht="24" customHeight="1">
      <c r="A23" s="20">
        <v>20</v>
      </c>
      <c r="B23" s="21" t="s">
        <v>32</v>
      </c>
      <c r="C23" s="20" t="s">
        <v>181</v>
      </c>
      <c r="D23" s="20" t="s">
        <v>221</v>
      </c>
      <c r="E23" s="22" t="s">
        <v>224</v>
      </c>
      <c r="F23" s="22">
        <v>9</v>
      </c>
      <c r="G23" s="22"/>
    </row>
    <row r="24" spans="1:7" ht="24" customHeight="1">
      <c r="A24" s="20">
        <v>21</v>
      </c>
      <c r="B24" s="21" t="s">
        <v>32</v>
      </c>
      <c r="C24" s="20" t="s">
        <v>181</v>
      </c>
      <c r="D24" s="20" t="s">
        <v>221</v>
      </c>
      <c r="E24" s="22" t="s">
        <v>225</v>
      </c>
      <c r="F24" s="22">
        <v>20</v>
      </c>
      <c r="G24" s="22"/>
    </row>
    <row r="25" spans="1:7" ht="24" customHeight="1">
      <c r="A25" s="20">
        <v>22</v>
      </c>
      <c r="B25" s="21" t="s">
        <v>32</v>
      </c>
      <c r="C25" s="20" t="s">
        <v>181</v>
      </c>
      <c r="D25" s="20" t="s">
        <v>221</v>
      </c>
      <c r="E25" s="22" t="s">
        <v>226</v>
      </c>
      <c r="F25" s="22">
        <v>22</v>
      </c>
      <c r="G25" s="22"/>
    </row>
    <row r="26" spans="1:7" ht="24" customHeight="1">
      <c r="A26" s="20">
        <v>23</v>
      </c>
      <c r="B26" s="21" t="s">
        <v>32</v>
      </c>
      <c r="C26" s="20" t="s">
        <v>181</v>
      </c>
      <c r="D26" s="20" t="s">
        <v>221</v>
      </c>
      <c r="E26" s="22" t="s">
        <v>391</v>
      </c>
      <c r="F26" s="22">
        <v>20</v>
      </c>
      <c r="G26" s="22"/>
    </row>
    <row r="27" spans="1:7" ht="24" customHeight="1">
      <c r="A27" s="20">
        <v>24</v>
      </c>
      <c r="B27" s="21" t="s">
        <v>32</v>
      </c>
      <c r="C27" s="20" t="s">
        <v>181</v>
      </c>
      <c r="D27" s="17" t="s">
        <v>219</v>
      </c>
      <c r="E27" s="36" t="s">
        <v>228</v>
      </c>
      <c r="F27" s="35">
        <f>SUM(F21:F26)</f>
        <v>107</v>
      </c>
      <c r="G27" s="36"/>
    </row>
    <row r="28" spans="1:7" ht="24" customHeight="1">
      <c r="A28" s="20">
        <v>25</v>
      </c>
      <c r="B28" s="21" t="s">
        <v>32</v>
      </c>
      <c r="C28" s="20" t="s">
        <v>181</v>
      </c>
      <c r="D28" s="20" t="s">
        <v>229</v>
      </c>
      <c r="E28" s="22" t="s">
        <v>230</v>
      </c>
      <c r="F28" s="22">
        <v>14</v>
      </c>
      <c r="G28" s="22"/>
    </row>
    <row r="29" spans="1:7" ht="24" customHeight="1">
      <c r="A29" s="20">
        <v>26</v>
      </c>
      <c r="B29" s="21" t="s">
        <v>32</v>
      </c>
      <c r="C29" s="20" t="s">
        <v>181</v>
      </c>
      <c r="D29" s="20" t="s">
        <v>229</v>
      </c>
      <c r="E29" s="22" t="s">
        <v>231</v>
      </c>
      <c r="F29" s="22">
        <v>45</v>
      </c>
      <c r="G29" s="22"/>
    </row>
    <row r="30" spans="1:7" ht="24" customHeight="1">
      <c r="A30" s="20">
        <v>27</v>
      </c>
      <c r="B30" s="21" t="s">
        <v>32</v>
      </c>
      <c r="C30" s="20" t="s">
        <v>181</v>
      </c>
      <c r="D30" s="20" t="s">
        <v>229</v>
      </c>
      <c r="E30" s="22" t="s">
        <v>412</v>
      </c>
      <c r="F30" s="22">
        <v>40</v>
      </c>
      <c r="G30" s="22"/>
    </row>
    <row r="31" spans="1:7" ht="24" customHeight="1">
      <c r="A31" s="20">
        <v>28</v>
      </c>
      <c r="B31" s="21" t="s">
        <v>32</v>
      </c>
      <c r="C31" s="20" t="s">
        <v>181</v>
      </c>
      <c r="D31" s="20" t="s">
        <v>229</v>
      </c>
      <c r="E31" s="22" t="s">
        <v>446</v>
      </c>
      <c r="F31" s="22">
        <v>25</v>
      </c>
      <c r="G31" s="22"/>
    </row>
    <row r="32" spans="1:7" ht="24" customHeight="1">
      <c r="A32" s="20">
        <v>29</v>
      </c>
      <c r="B32" s="21" t="s">
        <v>32</v>
      </c>
      <c r="C32" s="20" t="s">
        <v>181</v>
      </c>
      <c r="D32" s="20" t="s">
        <v>229</v>
      </c>
      <c r="E32" s="22" t="s">
        <v>447</v>
      </c>
      <c r="F32" s="22">
        <v>30</v>
      </c>
      <c r="G32" s="22"/>
    </row>
    <row r="33" spans="1:8" ht="24" customHeight="1">
      <c r="A33" s="20">
        <v>30</v>
      </c>
      <c r="B33" s="21" t="s">
        <v>32</v>
      </c>
      <c r="C33" s="20" t="s">
        <v>181</v>
      </c>
      <c r="D33" s="20" t="s">
        <v>229</v>
      </c>
      <c r="E33" s="22" t="s">
        <v>415</v>
      </c>
      <c r="F33" s="22">
        <v>120</v>
      </c>
      <c r="G33" s="22"/>
    </row>
    <row r="34" spans="1:8" ht="24" customHeight="1">
      <c r="A34" s="20">
        <v>31</v>
      </c>
      <c r="B34" s="21" t="s">
        <v>32</v>
      </c>
      <c r="C34" s="20" t="s">
        <v>181</v>
      </c>
      <c r="D34" s="20" t="s">
        <v>229</v>
      </c>
      <c r="E34" s="22" t="s">
        <v>416</v>
      </c>
      <c r="F34" s="22">
        <v>8</v>
      </c>
      <c r="G34" s="22"/>
    </row>
    <row r="35" spans="1:8" ht="24" customHeight="1">
      <c r="A35" s="20">
        <v>32</v>
      </c>
      <c r="B35" s="21" t="s">
        <v>32</v>
      </c>
      <c r="C35" s="20" t="s">
        <v>181</v>
      </c>
      <c r="D35" s="20" t="s">
        <v>229</v>
      </c>
      <c r="E35" s="22" t="s">
        <v>417</v>
      </c>
      <c r="F35" s="22">
        <v>10</v>
      </c>
      <c r="G35" s="22"/>
    </row>
    <row r="36" spans="1:8" ht="24" customHeight="1">
      <c r="A36" s="20">
        <v>33</v>
      </c>
      <c r="B36" s="21" t="s">
        <v>32</v>
      </c>
      <c r="C36" s="20" t="s">
        <v>181</v>
      </c>
      <c r="D36" s="20" t="s">
        <v>229</v>
      </c>
      <c r="E36" s="22" t="s">
        <v>431</v>
      </c>
      <c r="F36" s="22">
        <v>12</v>
      </c>
      <c r="G36" s="22"/>
    </row>
    <row r="37" spans="1:8" ht="24" customHeight="1">
      <c r="A37" s="20">
        <v>34</v>
      </c>
      <c r="B37" s="21" t="s">
        <v>32</v>
      </c>
      <c r="C37" s="20" t="s">
        <v>181</v>
      </c>
      <c r="D37" s="17" t="s">
        <v>219</v>
      </c>
      <c r="E37" s="36" t="s">
        <v>238</v>
      </c>
      <c r="F37" s="35">
        <f>SUM(F28:F36)</f>
        <v>304</v>
      </c>
      <c r="G37" s="36"/>
    </row>
    <row r="38" spans="1:8" ht="24" customHeight="1">
      <c r="A38" s="20">
        <v>35</v>
      </c>
      <c r="B38" s="21" t="s">
        <v>32</v>
      </c>
      <c r="C38" s="20" t="s">
        <v>181</v>
      </c>
      <c r="D38" s="20" t="s">
        <v>239</v>
      </c>
      <c r="E38" s="22" t="s">
        <v>240</v>
      </c>
      <c r="F38" s="22">
        <v>70</v>
      </c>
      <c r="G38" s="22"/>
    </row>
    <row r="39" spans="1:8" ht="24" customHeight="1">
      <c r="A39" s="20">
        <v>36</v>
      </c>
      <c r="B39" s="21" t="s">
        <v>32</v>
      </c>
      <c r="C39" s="20" t="s">
        <v>181</v>
      </c>
      <c r="D39" s="20" t="s">
        <v>239</v>
      </c>
      <c r="E39" s="22" t="s">
        <v>241</v>
      </c>
      <c r="F39" s="22">
        <v>60</v>
      </c>
      <c r="G39" s="22"/>
    </row>
    <row r="40" spans="1:8" ht="24" customHeight="1">
      <c r="A40" s="20">
        <v>37</v>
      </c>
      <c r="B40" s="21" t="s">
        <v>32</v>
      </c>
      <c r="C40" s="20" t="s">
        <v>181</v>
      </c>
      <c r="D40" s="17" t="s">
        <v>219</v>
      </c>
      <c r="E40" s="70" t="s">
        <v>242</v>
      </c>
      <c r="F40" s="70">
        <f>SUM(F38:F39)</f>
        <v>130</v>
      </c>
      <c r="G40" s="70"/>
    </row>
    <row r="41" spans="1:8" ht="24" customHeight="1">
      <c r="A41" s="20">
        <v>38</v>
      </c>
      <c r="B41" s="21" t="s">
        <v>32</v>
      </c>
      <c r="C41" s="20" t="s">
        <v>181</v>
      </c>
      <c r="D41" s="63" t="s">
        <v>259</v>
      </c>
      <c r="E41" s="43" t="s">
        <v>949</v>
      </c>
      <c r="F41" s="53">
        <v>600</v>
      </c>
      <c r="G41" s="53" t="s">
        <v>950</v>
      </c>
    </row>
    <row r="42" spans="1:8" ht="24" customHeight="1">
      <c r="A42" s="20">
        <v>39</v>
      </c>
      <c r="B42" s="21" t="s">
        <v>32</v>
      </c>
      <c r="C42" s="20" t="s">
        <v>181</v>
      </c>
      <c r="D42" s="63" t="s">
        <v>259</v>
      </c>
      <c r="E42" s="43" t="s">
        <v>951</v>
      </c>
      <c r="F42" s="53">
        <v>50</v>
      </c>
      <c r="G42" s="70"/>
    </row>
    <row r="43" spans="1:8" ht="31.05" customHeight="1">
      <c r="A43" s="20">
        <v>40</v>
      </c>
      <c r="B43" s="21" t="s">
        <v>32</v>
      </c>
      <c r="C43" s="20" t="s">
        <v>181</v>
      </c>
      <c r="D43" s="63" t="s">
        <v>259</v>
      </c>
      <c r="E43" s="43" t="s">
        <v>449</v>
      </c>
      <c r="F43" s="22">
        <v>10</v>
      </c>
      <c r="G43" s="71"/>
      <c r="H43" s="72"/>
    </row>
    <row r="44" spans="1:8" ht="24" customHeight="1">
      <c r="A44" s="20">
        <v>41</v>
      </c>
      <c r="B44" s="21" t="s">
        <v>32</v>
      </c>
      <c r="C44" s="20" t="s">
        <v>181</v>
      </c>
      <c r="D44" s="63" t="s">
        <v>259</v>
      </c>
      <c r="E44" s="56" t="s">
        <v>450</v>
      </c>
      <c r="F44" s="22">
        <v>45</v>
      </c>
      <c r="G44" s="22"/>
    </row>
    <row r="45" spans="1:8" ht="24" customHeight="1">
      <c r="A45" s="20">
        <v>42</v>
      </c>
      <c r="B45" s="21" t="s">
        <v>32</v>
      </c>
      <c r="C45" s="20" t="s">
        <v>181</v>
      </c>
      <c r="D45" s="17" t="s">
        <v>219</v>
      </c>
      <c r="E45" s="36" t="s">
        <v>261</v>
      </c>
      <c r="F45" s="36">
        <f>SUM(F41:F44)</f>
        <v>705</v>
      </c>
      <c r="G45" s="36"/>
    </row>
    <row r="46" spans="1:8" ht="24" customHeight="1">
      <c r="A46" s="20">
        <v>43</v>
      </c>
      <c r="B46" s="21" t="s">
        <v>32</v>
      </c>
      <c r="C46" s="20" t="s">
        <v>181</v>
      </c>
      <c r="D46" s="20" t="s">
        <v>243</v>
      </c>
      <c r="E46" s="22" t="s">
        <v>451</v>
      </c>
      <c r="F46" s="22">
        <v>11.4</v>
      </c>
      <c r="G46" s="22"/>
    </row>
    <row r="47" spans="1:8" ht="24" customHeight="1">
      <c r="A47" s="20">
        <v>44</v>
      </c>
      <c r="B47" s="21" t="s">
        <v>32</v>
      </c>
      <c r="C47" s="20" t="s">
        <v>181</v>
      </c>
      <c r="D47" s="20" t="s">
        <v>243</v>
      </c>
      <c r="E47" s="22" t="s">
        <v>452</v>
      </c>
      <c r="F47" s="22">
        <v>11.4</v>
      </c>
      <c r="G47" s="22"/>
    </row>
    <row r="48" spans="1:8" ht="24" customHeight="1">
      <c r="A48" s="20">
        <v>45</v>
      </c>
      <c r="B48" s="21" t="s">
        <v>32</v>
      </c>
      <c r="C48" s="20" t="s">
        <v>181</v>
      </c>
      <c r="D48" s="20" t="s">
        <v>243</v>
      </c>
      <c r="E48" s="43" t="s">
        <v>453</v>
      </c>
      <c r="F48" s="22">
        <v>19.8</v>
      </c>
      <c r="G48" s="22"/>
    </row>
    <row r="49" spans="1:7" ht="31.5" customHeight="1">
      <c r="A49" s="20">
        <v>46</v>
      </c>
      <c r="B49" s="21" t="s">
        <v>32</v>
      </c>
      <c r="C49" s="20" t="s">
        <v>181</v>
      </c>
      <c r="D49" s="20" t="s">
        <v>243</v>
      </c>
      <c r="E49" s="43" t="s">
        <v>952</v>
      </c>
      <c r="F49" s="22">
        <v>25.5</v>
      </c>
      <c r="G49" s="28" t="s">
        <v>953</v>
      </c>
    </row>
    <row r="50" spans="1:7" ht="24" customHeight="1">
      <c r="A50" s="20">
        <v>47</v>
      </c>
      <c r="B50" s="21" t="s">
        <v>32</v>
      </c>
      <c r="C50" s="20" t="s">
        <v>181</v>
      </c>
      <c r="D50" s="20" t="s">
        <v>243</v>
      </c>
      <c r="E50" s="22" t="s">
        <v>423</v>
      </c>
      <c r="F50" s="22">
        <v>2</v>
      </c>
      <c r="G50" s="22"/>
    </row>
    <row r="51" spans="1:7" ht="24" customHeight="1">
      <c r="A51" s="20">
        <v>48</v>
      </c>
      <c r="B51" s="21" t="s">
        <v>32</v>
      </c>
      <c r="C51" s="20" t="s">
        <v>181</v>
      </c>
      <c r="D51" s="17" t="s">
        <v>219</v>
      </c>
      <c r="E51" s="36" t="s">
        <v>248</v>
      </c>
      <c r="F51" s="36">
        <f>SUM(F46:F50)</f>
        <v>70.099999999999994</v>
      </c>
      <c r="G51" s="36"/>
    </row>
    <row r="52" spans="1:7" ht="24" customHeight="1">
      <c r="A52" s="20">
        <v>49</v>
      </c>
      <c r="B52" s="21" t="s">
        <v>32</v>
      </c>
      <c r="C52" s="20" t="s">
        <v>181</v>
      </c>
      <c r="D52" s="20" t="s">
        <v>249</v>
      </c>
      <c r="E52" s="22" t="s">
        <v>281</v>
      </c>
      <c r="F52" s="22">
        <v>10</v>
      </c>
      <c r="G52" s="22"/>
    </row>
    <row r="53" spans="1:7" ht="24" customHeight="1">
      <c r="A53" s="20">
        <v>50</v>
      </c>
      <c r="B53" s="21" t="s">
        <v>32</v>
      </c>
      <c r="C53" s="20" t="s">
        <v>181</v>
      </c>
      <c r="D53" s="20" t="s">
        <v>249</v>
      </c>
      <c r="E53" s="22" t="s">
        <v>282</v>
      </c>
      <c r="F53" s="22">
        <v>10</v>
      </c>
      <c r="G53" s="22"/>
    </row>
    <row r="54" spans="1:7" ht="24" customHeight="1">
      <c r="A54" s="20">
        <v>51</v>
      </c>
      <c r="B54" s="21" t="s">
        <v>32</v>
      </c>
      <c r="C54" s="20" t="s">
        <v>181</v>
      </c>
      <c r="D54" s="20" t="s">
        <v>249</v>
      </c>
      <c r="E54" s="22" t="s">
        <v>954</v>
      </c>
      <c r="F54" s="22">
        <v>60</v>
      </c>
      <c r="G54" s="69" t="s">
        <v>955</v>
      </c>
    </row>
    <row r="55" spans="1:7" ht="24" customHeight="1">
      <c r="A55" s="20">
        <v>52</v>
      </c>
      <c r="B55" s="21" t="s">
        <v>32</v>
      </c>
      <c r="C55" s="20" t="s">
        <v>181</v>
      </c>
      <c r="D55" s="20" t="s">
        <v>249</v>
      </c>
      <c r="E55" s="22" t="s">
        <v>284</v>
      </c>
      <c r="F55" s="22">
        <v>10</v>
      </c>
      <c r="G55" s="22"/>
    </row>
    <row r="56" spans="1:7" ht="24" customHeight="1">
      <c r="A56" s="20">
        <v>53</v>
      </c>
      <c r="B56" s="21" t="s">
        <v>32</v>
      </c>
      <c r="C56" s="20" t="s">
        <v>181</v>
      </c>
      <c r="D56" s="20" t="s">
        <v>249</v>
      </c>
      <c r="E56" s="22" t="s">
        <v>454</v>
      </c>
      <c r="F56" s="22">
        <v>10</v>
      </c>
      <c r="G56" s="22"/>
    </row>
    <row r="57" spans="1:7" ht="24" customHeight="1">
      <c r="A57" s="20">
        <v>54</v>
      </c>
      <c r="B57" s="21" t="s">
        <v>32</v>
      </c>
      <c r="C57" s="20" t="s">
        <v>181</v>
      </c>
      <c r="D57" s="17" t="s">
        <v>219</v>
      </c>
      <c r="E57" s="36" t="s">
        <v>255</v>
      </c>
      <c r="F57" s="36">
        <f>SUM(F52:F56)</f>
        <v>100</v>
      </c>
      <c r="G57" s="36"/>
    </row>
    <row r="58" spans="1:7" ht="24" customHeight="1">
      <c r="A58" s="20">
        <v>55</v>
      </c>
      <c r="B58" s="21" t="s">
        <v>32</v>
      </c>
      <c r="C58" s="20" t="s">
        <v>181</v>
      </c>
      <c r="D58" s="69" t="s">
        <v>256</v>
      </c>
      <c r="E58" s="28" t="s">
        <v>956</v>
      </c>
      <c r="F58" s="22">
        <v>60</v>
      </c>
      <c r="G58" s="22"/>
    </row>
    <row r="59" spans="1:7" ht="24" customHeight="1">
      <c r="A59" s="20">
        <v>56</v>
      </c>
      <c r="B59" s="21" t="s">
        <v>32</v>
      </c>
      <c r="C59" s="20" t="s">
        <v>181</v>
      </c>
      <c r="D59" s="17" t="s">
        <v>219</v>
      </c>
      <c r="E59" s="36" t="s">
        <v>258</v>
      </c>
      <c r="F59" s="36">
        <f>SUM(F58)</f>
        <v>60</v>
      </c>
      <c r="G59" s="36"/>
    </row>
    <row r="60" spans="1:7" ht="24" customHeight="1">
      <c r="A60" s="20">
        <v>57</v>
      </c>
      <c r="B60" s="21" t="s">
        <v>32</v>
      </c>
      <c r="C60" s="20" t="s">
        <v>181</v>
      </c>
      <c r="D60" s="20" t="s">
        <v>262</v>
      </c>
      <c r="E60" s="22" t="s">
        <v>425</v>
      </c>
      <c r="F60" s="22">
        <v>255</v>
      </c>
      <c r="G60" s="22"/>
    </row>
    <row r="61" spans="1:7" ht="24" customHeight="1">
      <c r="A61" s="20">
        <v>58</v>
      </c>
      <c r="B61" s="21" t="s">
        <v>32</v>
      </c>
      <c r="C61" s="20" t="s">
        <v>181</v>
      </c>
      <c r="D61" s="20" t="s">
        <v>262</v>
      </c>
      <c r="E61" s="22" t="s">
        <v>264</v>
      </c>
      <c r="F61" s="22">
        <v>40</v>
      </c>
      <c r="G61" s="22"/>
    </row>
    <row r="62" spans="1:7" ht="24" customHeight="1">
      <c r="A62" s="20">
        <v>59</v>
      </c>
      <c r="B62" s="21" t="s">
        <v>32</v>
      </c>
      <c r="C62" s="20" t="s">
        <v>181</v>
      </c>
      <c r="D62" s="20" t="s">
        <v>262</v>
      </c>
      <c r="E62" s="22" t="s">
        <v>265</v>
      </c>
      <c r="F62" s="22">
        <v>40</v>
      </c>
      <c r="G62" s="22"/>
    </row>
    <row r="63" spans="1:7" ht="24" customHeight="1">
      <c r="A63" s="20">
        <v>60</v>
      </c>
      <c r="B63" s="21" t="s">
        <v>32</v>
      </c>
      <c r="C63" s="20" t="s">
        <v>181</v>
      </c>
      <c r="D63" s="17" t="s">
        <v>219</v>
      </c>
      <c r="E63" s="36" t="s">
        <v>266</v>
      </c>
      <c r="F63" s="36">
        <f>SUM(F60:F62)</f>
        <v>335</v>
      </c>
      <c r="G63" s="36"/>
    </row>
    <row r="64" spans="1:7" ht="24" customHeight="1">
      <c r="A64" s="20">
        <v>61</v>
      </c>
      <c r="B64" s="21" t="s">
        <v>32</v>
      </c>
      <c r="C64" s="20" t="s">
        <v>181</v>
      </c>
      <c r="D64" s="17" t="s">
        <v>267</v>
      </c>
      <c r="E64" s="35" t="s">
        <v>957</v>
      </c>
      <c r="F64" s="35">
        <v>2538</v>
      </c>
      <c r="G64" s="36"/>
    </row>
    <row r="65" spans="1:7" ht="24" customHeight="1">
      <c r="A65" s="240" t="s">
        <v>958</v>
      </c>
      <c r="B65" s="240"/>
      <c r="C65" s="240"/>
      <c r="D65" s="240"/>
      <c r="E65" s="240"/>
      <c r="F65" s="240"/>
      <c r="G65" s="240"/>
    </row>
  </sheetData>
  <autoFilter ref="A3:G65" xr:uid="{00000000-0009-0000-0000-00003D000000}"/>
  <mergeCells count="3">
    <mergeCell ref="A1:G1"/>
    <mergeCell ref="A2:G2"/>
    <mergeCell ref="A65:G65"/>
  </mergeCells>
  <phoneticPr fontId="23" type="noConversion"/>
  <pageMargins left="0.48" right="0.196850393700787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66"/>
  <sheetViews>
    <sheetView view="pageBreakPreview" zoomScaleNormal="115" workbookViewId="0">
      <selection activeCell="E62" sqref="E62"/>
    </sheetView>
  </sheetViews>
  <sheetFormatPr defaultColWidth="9" defaultRowHeight="15"/>
  <cols>
    <col min="1" max="1" width="4.06640625" style="67" customWidth="1"/>
    <col min="2" max="2" width="10.06640625" style="68" customWidth="1"/>
    <col min="3" max="3" width="12.06640625" style="67" customWidth="1"/>
    <col min="4" max="4" width="10.73046875" style="67" customWidth="1"/>
    <col min="5" max="5" width="43.73046875" style="67" customWidth="1"/>
    <col min="6" max="6" width="7.33203125" style="67" customWidth="1"/>
    <col min="7" max="7" width="8.19921875" style="67" customWidth="1"/>
    <col min="8" max="16384" width="9" style="16"/>
  </cols>
  <sheetData>
    <row r="1" spans="1:7" ht="32.549999999999997" customHeight="1">
      <c r="A1" s="229" t="s">
        <v>959</v>
      </c>
      <c r="B1" s="229"/>
      <c r="C1" s="229"/>
      <c r="D1" s="229"/>
      <c r="E1" s="229"/>
      <c r="F1" s="243"/>
      <c r="G1" s="243"/>
    </row>
    <row r="2" spans="1:7" ht="24" customHeight="1">
      <c r="A2" s="230" t="s">
        <v>960</v>
      </c>
      <c r="B2" s="230"/>
      <c r="C2" s="230"/>
      <c r="D2" s="230"/>
      <c r="E2" s="230"/>
      <c r="F2" s="230"/>
      <c r="G2" s="230"/>
    </row>
    <row r="3" spans="1:7" s="66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32</v>
      </c>
      <c r="C4" s="20" t="s">
        <v>183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32</v>
      </c>
      <c r="C5" s="20" t="s">
        <v>183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32</v>
      </c>
      <c r="C6" s="20" t="s">
        <v>183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32</v>
      </c>
      <c r="C7" s="20" t="s">
        <v>183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32</v>
      </c>
      <c r="C8" s="20" t="s">
        <v>183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32</v>
      </c>
      <c r="C9" s="20" t="s">
        <v>183</v>
      </c>
      <c r="D9" s="20" t="s">
        <v>209</v>
      </c>
      <c r="E9" s="22" t="s">
        <v>312</v>
      </c>
      <c r="F9" s="22">
        <v>10</v>
      </c>
      <c r="G9" s="22"/>
    </row>
    <row r="10" spans="1:7" ht="24" customHeight="1">
      <c r="A10" s="20">
        <v>7</v>
      </c>
      <c r="B10" s="21" t="s">
        <v>32</v>
      </c>
      <c r="C10" s="20" t="s">
        <v>183</v>
      </c>
      <c r="D10" s="20" t="s">
        <v>209</v>
      </c>
      <c r="E10" s="22" t="s">
        <v>216</v>
      </c>
      <c r="F10" s="22">
        <v>40</v>
      </c>
      <c r="G10" s="22"/>
    </row>
    <row r="11" spans="1:7" ht="24" customHeight="1">
      <c r="A11" s="20">
        <v>8</v>
      </c>
      <c r="B11" s="21" t="s">
        <v>32</v>
      </c>
      <c r="C11" s="20" t="s">
        <v>183</v>
      </c>
      <c r="D11" s="20" t="s">
        <v>209</v>
      </c>
      <c r="E11" s="22" t="s">
        <v>292</v>
      </c>
      <c r="F11" s="22">
        <v>18</v>
      </c>
      <c r="G11" s="22"/>
    </row>
    <row r="12" spans="1:7" ht="24" customHeight="1">
      <c r="A12" s="20">
        <v>9</v>
      </c>
      <c r="B12" s="21" t="s">
        <v>32</v>
      </c>
      <c r="C12" s="20" t="s">
        <v>183</v>
      </c>
      <c r="D12" s="20" t="s">
        <v>209</v>
      </c>
      <c r="E12" s="22" t="s">
        <v>217</v>
      </c>
      <c r="F12" s="22">
        <v>55</v>
      </c>
      <c r="G12" s="22"/>
    </row>
    <row r="13" spans="1:7" ht="24" customHeight="1">
      <c r="A13" s="20">
        <v>10</v>
      </c>
      <c r="B13" s="21" t="s">
        <v>32</v>
      </c>
      <c r="C13" s="20" t="s">
        <v>183</v>
      </c>
      <c r="D13" s="20" t="s">
        <v>209</v>
      </c>
      <c r="E13" s="22" t="s">
        <v>400</v>
      </c>
      <c r="F13" s="22">
        <v>10</v>
      </c>
      <c r="G13" s="22"/>
    </row>
    <row r="14" spans="1:7" ht="24" customHeight="1">
      <c r="A14" s="20">
        <v>11</v>
      </c>
      <c r="B14" s="21" t="s">
        <v>32</v>
      </c>
      <c r="C14" s="20" t="s">
        <v>183</v>
      </c>
      <c r="D14" s="17" t="s">
        <v>219</v>
      </c>
      <c r="E14" s="36" t="s">
        <v>220</v>
      </c>
      <c r="F14" s="36">
        <f>SUM(F4:F13)</f>
        <v>261</v>
      </c>
      <c r="G14" s="36"/>
    </row>
    <row r="15" spans="1:7" ht="24" customHeight="1">
      <c r="A15" s="20">
        <v>12</v>
      </c>
      <c r="B15" s="21" t="s">
        <v>32</v>
      </c>
      <c r="C15" s="20" t="s">
        <v>183</v>
      </c>
      <c r="D15" s="20" t="s">
        <v>401</v>
      </c>
      <c r="E15" s="22" t="s">
        <v>402</v>
      </c>
      <c r="F15" s="22">
        <v>34</v>
      </c>
      <c r="G15" s="22"/>
    </row>
    <row r="16" spans="1:7" ht="24" customHeight="1">
      <c r="A16" s="20">
        <v>13</v>
      </c>
      <c r="B16" s="21" t="s">
        <v>32</v>
      </c>
      <c r="C16" s="20" t="s">
        <v>183</v>
      </c>
      <c r="D16" s="20" t="s">
        <v>401</v>
      </c>
      <c r="E16" s="22" t="s">
        <v>403</v>
      </c>
      <c r="F16" s="22">
        <v>34</v>
      </c>
      <c r="G16" s="22"/>
    </row>
    <row r="17" spans="1:7" ht="24" customHeight="1">
      <c r="A17" s="20">
        <v>14</v>
      </c>
      <c r="B17" s="21" t="s">
        <v>32</v>
      </c>
      <c r="C17" s="20" t="s">
        <v>183</v>
      </c>
      <c r="D17" s="20" t="s">
        <v>401</v>
      </c>
      <c r="E17" s="22" t="s">
        <v>404</v>
      </c>
      <c r="F17" s="22">
        <v>140</v>
      </c>
      <c r="G17" s="22"/>
    </row>
    <row r="18" spans="1:7" ht="24" customHeight="1">
      <c r="A18" s="20">
        <v>15</v>
      </c>
      <c r="B18" s="21" t="s">
        <v>32</v>
      </c>
      <c r="C18" s="20" t="s">
        <v>183</v>
      </c>
      <c r="D18" s="20" t="s">
        <v>401</v>
      </c>
      <c r="E18" s="22" t="s">
        <v>405</v>
      </c>
      <c r="F18" s="22">
        <v>60</v>
      </c>
      <c r="G18" s="22"/>
    </row>
    <row r="19" spans="1:7" ht="24" customHeight="1">
      <c r="A19" s="20">
        <v>16</v>
      </c>
      <c r="B19" s="21" t="s">
        <v>32</v>
      </c>
      <c r="C19" s="20" t="s">
        <v>183</v>
      </c>
      <c r="D19" s="20" t="s">
        <v>401</v>
      </c>
      <c r="E19" s="22" t="s">
        <v>406</v>
      </c>
      <c r="F19" s="22">
        <v>20</v>
      </c>
      <c r="G19" s="22"/>
    </row>
    <row r="20" spans="1:7" ht="24" customHeight="1">
      <c r="A20" s="20">
        <v>17</v>
      </c>
      <c r="B20" s="21" t="s">
        <v>32</v>
      </c>
      <c r="C20" s="20" t="s">
        <v>183</v>
      </c>
      <c r="D20" s="20" t="s">
        <v>401</v>
      </c>
      <c r="E20" s="22" t="s">
        <v>407</v>
      </c>
      <c r="F20" s="22">
        <v>200</v>
      </c>
      <c r="G20" s="22"/>
    </row>
    <row r="21" spans="1:7" ht="24" customHeight="1">
      <c r="A21" s="20">
        <v>18</v>
      </c>
      <c r="B21" s="21" t="s">
        <v>32</v>
      </c>
      <c r="C21" s="20" t="s">
        <v>183</v>
      </c>
      <c r="D21" s="20" t="s">
        <v>401</v>
      </c>
      <c r="E21" s="22" t="s">
        <v>408</v>
      </c>
      <c r="F21" s="22">
        <v>16</v>
      </c>
      <c r="G21" s="22"/>
    </row>
    <row r="22" spans="1:7" ht="24" customHeight="1">
      <c r="A22" s="20">
        <v>19</v>
      </c>
      <c r="B22" s="21" t="s">
        <v>32</v>
      </c>
      <c r="C22" s="20" t="s">
        <v>183</v>
      </c>
      <c r="D22" s="17" t="s">
        <v>219</v>
      </c>
      <c r="E22" s="36" t="s">
        <v>409</v>
      </c>
      <c r="F22" s="36">
        <f>SUM(F15:F21)</f>
        <v>504</v>
      </c>
      <c r="G22" s="36"/>
    </row>
    <row r="23" spans="1:7" ht="24" customHeight="1">
      <c r="A23" s="20">
        <v>20</v>
      </c>
      <c r="B23" s="21" t="s">
        <v>32</v>
      </c>
      <c r="C23" s="20" t="s">
        <v>183</v>
      </c>
      <c r="D23" s="20" t="s">
        <v>221</v>
      </c>
      <c r="E23" s="22" t="s">
        <v>222</v>
      </c>
      <c r="F23" s="22">
        <v>14</v>
      </c>
      <c r="G23" s="22"/>
    </row>
    <row r="24" spans="1:7" ht="24" customHeight="1">
      <c r="A24" s="20">
        <v>21</v>
      </c>
      <c r="B24" s="21" t="s">
        <v>32</v>
      </c>
      <c r="C24" s="20" t="s">
        <v>183</v>
      </c>
      <c r="D24" s="20" t="s">
        <v>221</v>
      </c>
      <c r="E24" s="22" t="s">
        <v>223</v>
      </c>
      <c r="F24" s="22">
        <v>22</v>
      </c>
      <c r="G24" s="22"/>
    </row>
    <row r="25" spans="1:7" ht="24" customHeight="1">
      <c r="A25" s="20">
        <v>22</v>
      </c>
      <c r="B25" s="21" t="s">
        <v>32</v>
      </c>
      <c r="C25" s="20" t="s">
        <v>183</v>
      </c>
      <c r="D25" s="20" t="s">
        <v>221</v>
      </c>
      <c r="E25" s="22" t="s">
        <v>224</v>
      </c>
      <c r="F25" s="22">
        <v>9</v>
      </c>
      <c r="G25" s="22"/>
    </row>
    <row r="26" spans="1:7" ht="24" customHeight="1">
      <c r="A26" s="20">
        <v>23</v>
      </c>
      <c r="B26" s="21" t="s">
        <v>32</v>
      </c>
      <c r="C26" s="20" t="s">
        <v>183</v>
      </c>
      <c r="D26" s="20" t="s">
        <v>221</v>
      </c>
      <c r="E26" s="22" t="s">
        <v>225</v>
      </c>
      <c r="F26" s="22">
        <v>20</v>
      </c>
      <c r="G26" s="22"/>
    </row>
    <row r="27" spans="1:7" ht="24" customHeight="1">
      <c r="A27" s="20">
        <v>24</v>
      </c>
      <c r="B27" s="21" t="s">
        <v>32</v>
      </c>
      <c r="C27" s="20" t="s">
        <v>183</v>
      </c>
      <c r="D27" s="20" t="s">
        <v>221</v>
      </c>
      <c r="E27" s="22" t="s">
        <v>226</v>
      </c>
      <c r="F27" s="22">
        <v>22</v>
      </c>
      <c r="G27" s="22"/>
    </row>
    <row r="28" spans="1:7" ht="24" customHeight="1">
      <c r="A28" s="20">
        <v>25</v>
      </c>
      <c r="B28" s="21" t="s">
        <v>32</v>
      </c>
      <c r="C28" s="20" t="s">
        <v>183</v>
      </c>
      <c r="D28" s="20" t="s">
        <v>221</v>
      </c>
      <c r="E28" s="22" t="s">
        <v>391</v>
      </c>
      <c r="F28" s="22">
        <v>20</v>
      </c>
      <c r="G28" s="22"/>
    </row>
    <row r="29" spans="1:7" ht="24" customHeight="1">
      <c r="A29" s="20">
        <v>26</v>
      </c>
      <c r="B29" s="21" t="s">
        <v>32</v>
      </c>
      <c r="C29" s="20" t="s">
        <v>183</v>
      </c>
      <c r="D29" s="17" t="s">
        <v>219</v>
      </c>
      <c r="E29" s="36" t="s">
        <v>228</v>
      </c>
      <c r="F29" s="35">
        <f>SUM(F23:F28)</f>
        <v>107</v>
      </c>
      <c r="G29" s="36"/>
    </row>
    <row r="30" spans="1:7" ht="24" customHeight="1">
      <c r="A30" s="20">
        <v>27</v>
      </c>
      <c r="B30" s="21" t="s">
        <v>32</v>
      </c>
      <c r="C30" s="20" t="s">
        <v>183</v>
      </c>
      <c r="D30" s="20" t="s">
        <v>229</v>
      </c>
      <c r="E30" s="22" t="s">
        <v>230</v>
      </c>
      <c r="F30" s="22">
        <v>14</v>
      </c>
      <c r="G30" s="22"/>
    </row>
    <row r="31" spans="1:7" ht="24" customHeight="1">
      <c r="A31" s="20">
        <v>28</v>
      </c>
      <c r="B31" s="21" t="s">
        <v>32</v>
      </c>
      <c r="C31" s="20" t="s">
        <v>183</v>
      </c>
      <c r="D31" s="20" t="s">
        <v>229</v>
      </c>
      <c r="E31" s="22" t="s">
        <v>231</v>
      </c>
      <c r="F31" s="22">
        <v>45</v>
      </c>
      <c r="G31" s="22"/>
    </row>
    <row r="32" spans="1:7" ht="24" customHeight="1">
      <c r="A32" s="20">
        <v>29</v>
      </c>
      <c r="B32" s="21" t="s">
        <v>32</v>
      </c>
      <c r="C32" s="20" t="s">
        <v>183</v>
      </c>
      <c r="D32" s="20" t="s">
        <v>229</v>
      </c>
      <c r="E32" s="22" t="s">
        <v>412</v>
      </c>
      <c r="F32" s="22">
        <v>40</v>
      </c>
      <c r="G32" s="22"/>
    </row>
    <row r="33" spans="1:7" ht="24" customHeight="1">
      <c r="A33" s="20">
        <v>30</v>
      </c>
      <c r="B33" s="21" t="s">
        <v>32</v>
      </c>
      <c r="C33" s="20" t="s">
        <v>183</v>
      </c>
      <c r="D33" s="20" t="s">
        <v>229</v>
      </c>
      <c r="E33" s="22" t="s">
        <v>446</v>
      </c>
      <c r="F33" s="22">
        <v>25</v>
      </c>
      <c r="G33" s="22"/>
    </row>
    <row r="34" spans="1:7" ht="24" customHeight="1">
      <c r="A34" s="20">
        <v>31</v>
      </c>
      <c r="B34" s="21" t="s">
        <v>32</v>
      </c>
      <c r="C34" s="20" t="s">
        <v>183</v>
      </c>
      <c r="D34" s="20" t="s">
        <v>229</v>
      </c>
      <c r="E34" s="22" t="s">
        <v>447</v>
      </c>
      <c r="F34" s="22">
        <v>30</v>
      </c>
      <c r="G34" s="22"/>
    </row>
    <row r="35" spans="1:7" ht="24" customHeight="1">
      <c r="A35" s="20">
        <v>32</v>
      </c>
      <c r="B35" s="21" t="s">
        <v>32</v>
      </c>
      <c r="C35" s="20" t="s">
        <v>183</v>
      </c>
      <c r="D35" s="20" t="s">
        <v>229</v>
      </c>
      <c r="E35" s="22" t="s">
        <v>448</v>
      </c>
      <c r="F35" s="22">
        <v>20</v>
      </c>
      <c r="G35" s="22"/>
    </row>
    <row r="36" spans="1:7" ht="24" customHeight="1">
      <c r="A36" s="20">
        <v>33</v>
      </c>
      <c r="B36" s="21" t="s">
        <v>32</v>
      </c>
      <c r="C36" s="20" t="s">
        <v>183</v>
      </c>
      <c r="D36" s="20" t="s">
        <v>229</v>
      </c>
      <c r="E36" s="22" t="s">
        <v>415</v>
      </c>
      <c r="F36" s="22">
        <v>120</v>
      </c>
      <c r="G36" s="22"/>
    </row>
    <row r="37" spans="1:7" ht="24" customHeight="1">
      <c r="A37" s="20">
        <v>34</v>
      </c>
      <c r="B37" s="21" t="s">
        <v>32</v>
      </c>
      <c r="C37" s="20" t="s">
        <v>183</v>
      </c>
      <c r="D37" s="20" t="s">
        <v>229</v>
      </c>
      <c r="E37" s="22" t="s">
        <v>416</v>
      </c>
      <c r="F37" s="22">
        <v>8</v>
      </c>
      <c r="G37" s="22"/>
    </row>
    <row r="38" spans="1:7" ht="24" customHeight="1">
      <c r="A38" s="20">
        <v>35</v>
      </c>
      <c r="B38" s="21" t="s">
        <v>32</v>
      </c>
      <c r="C38" s="20" t="s">
        <v>183</v>
      </c>
      <c r="D38" s="20" t="s">
        <v>229</v>
      </c>
      <c r="E38" s="22" t="s">
        <v>417</v>
      </c>
      <c r="F38" s="22">
        <v>10</v>
      </c>
      <c r="G38" s="22"/>
    </row>
    <row r="39" spans="1:7" ht="24" customHeight="1">
      <c r="A39" s="20">
        <v>36</v>
      </c>
      <c r="B39" s="21" t="s">
        <v>32</v>
      </c>
      <c r="C39" s="20" t="s">
        <v>183</v>
      </c>
      <c r="D39" s="20" t="s">
        <v>229</v>
      </c>
      <c r="E39" s="22" t="s">
        <v>431</v>
      </c>
      <c r="F39" s="22">
        <v>12</v>
      </c>
      <c r="G39" s="22"/>
    </row>
    <row r="40" spans="1:7" ht="24" customHeight="1">
      <c r="A40" s="20">
        <v>37</v>
      </c>
      <c r="B40" s="21" t="s">
        <v>32</v>
      </c>
      <c r="C40" s="20" t="s">
        <v>183</v>
      </c>
      <c r="D40" s="17" t="s">
        <v>219</v>
      </c>
      <c r="E40" s="36" t="s">
        <v>238</v>
      </c>
      <c r="F40" s="35">
        <f>SUM(F30:F39)</f>
        <v>324</v>
      </c>
      <c r="G40" s="36"/>
    </row>
    <row r="41" spans="1:7" ht="24" customHeight="1">
      <c r="A41" s="20">
        <v>38</v>
      </c>
      <c r="B41" s="21" t="s">
        <v>32</v>
      </c>
      <c r="C41" s="20" t="s">
        <v>183</v>
      </c>
      <c r="D41" s="20" t="s">
        <v>239</v>
      </c>
      <c r="E41" s="22" t="s">
        <v>240</v>
      </c>
      <c r="F41" s="22">
        <v>70</v>
      </c>
      <c r="G41" s="22"/>
    </row>
    <row r="42" spans="1:7" ht="24" customHeight="1">
      <c r="A42" s="20">
        <v>39</v>
      </c>
      <c r="B42" s="21" t="s">
        <v>32</v>
      </c>
      <c r="C42" s="20" t="s">
        <v>183</v>
      </c>
      <c r="D42" s="20" t="s">
        <v>239</v>
      </c>
      <c r="E42" s="22" t="s">
        <v>241</v>
      </c>
      <c r="F42" s="22">
        <v>60</v>
      </c>
      <c r="G42" s="22"/>
    </row>
    <row r="43" spans="1:7" ht="24" customHeight="1">
      <c r="A43" s="20">
        <v>40</v>
      </c>
      <c r="B43" s="21" t="s">
        <v>32</v>
      </c>
      <c r="C43" s="20" t="s">
        <v>183</v>
      </c>
      <c r="D43" s="17" t="s">
        <v>219</v>
      </c>
      <c r="E43" s="36" t="s">
        <v>242</v>
      </c>
      <c r="F43" s="36">
        <f>SUM(F41:F42)</f>
        <v>130</v>
      </c>
      <c r="G43" s="36"/>
    </row>
    <row r="44" spans="1:7" ht="24" customHeight="1">
      <c r="A44" s="20">
        <v>41</v>
      </c>
      <c r="B44" s="21" t="s">
        <v>32</v>
      </c>
      <c r="C44" s="20" t="s">
        <v>183</v>
      </c>
      <c r="D44" s="20" t="s">
        <v>259</v>
      </c>
      <c r="E44" s="22" t="s">
        <v>449</v>
      </c>
      <c r="F44" s="22">
        <v>10</v>
      </c>
      <c r="G44" s="22"/>
    </row>
    <row r="45" spans="1:7" ht="24" customHeight="1">
      <c r="A45" s="20">
        <v>42</v>
      </c>
      <c r="B45" s="21" t="s">
        <v>32</v>
      </c>
      <c r="C45" s="20" t="s">
        <v>183</v>
      </c>
      <c r="D45" s="20" t="s">
        <v>259</v>
      </c>
      <c r="E45" s="28" t="s">
        <v>450</v>
      </c>
      <c r="F45" s="22">
        <v>45</v>
      </c>
      <c r="G45" s="22"/>
    </row>
    <row r="46" spans="1:7" ht="24" customHeight="1">
      <c r="A46" s="20">
        <v>43</v>
      </c>
      <c r="B46" s="21" t="s">
        <v>32</v>
      </c>
      <c r="C46" s="20" t="s">
        <v>183</v>
      </c>
      <c r="D46" s="17" t="s">
        <v>219</v>
      </c>
      <c r="E46" s="36" t="s">
        <v>261</v>
      </c>
      <c r="F46" s="36">
        <f>SUM(F44:F45)</f>
        <v>55</v>
      </c>
      <c r="G46" s="36"/>
    </row>
    <row r="47" spans="1:7" ht="24" customHeight="1">
      <c r="A47" s="20">
        <v>44</v>
      </c>
      <c r="B47" s="21" t="s">
        <v>32</v>
      </c>
      <c r="C47" s="20" t="s">
        <v>183</v>
      </c>
      <c r="D47" s="20" t="s">
        <v>243</v>
      </c>
      <c r="E47" s="22" t="s">
        <v>451</v>
      </c>
      <c r="F47" s="22">
        <v>11.4</v>
      </c>
      <c r="G47" s="22"/>
    </row>
    <row r="48" spans="1:7" ht="24" customHeight="1">
      <c r="A48" s="20">
        <v>45</v>
      </c>
      <c r="B48" s="21" t="s">
        <v>32</v>
      </c>
      <c r="C48" s="20" t="s">
        <v>183</v>
      </c>
      <c r="D48" s="20" t="s">
        <v>243</v>
      </c>
      <c r="E48" s="22" t="s">
        <v>452</v>
      </c>
      <c r="F48" s="22">
        <v>11.4</v>
      </c>
      <c r="G48" s="22"/>
    </row>
    <row r="49" spans="1:7" ht="24" customHeight="1">
      <c r="A49" s="20">
        <v>46</v>
      </c>
      <c r="B49" s="21" t="s">
        <v>32</v>
      </c>
      <c r="C49" s="20" t="s">
        <v>183</v>
      </c>
      <c r="D49" s="20" t="s">
        <v>243</v>
      </c>
      <c r="E49" s="22" t="s">
        <v>453</v>
      </c>
      <c r="F49" s="22">
        <v>19.8</v>
      </c>
      <c r="G49" s="22"/>
    </row>
    <row r="50" spans="1:7" ht="24" customHeight="1">
      <c r="A50" s="20">
        <v>47</v>
      </c>
      <c r="B50" s="21" t="s">
        <v>32</v>
      </c>
      <c r="C50" s="20" t="s">
        <v>183</v>
      </c>
      <c r="D50" s="20" t="s">
        <v>243</v>
      </c>
      <c r="E50" s="22" t="s">
        <v>423</v>
      </c>
      <c r="F50" s="22">
        <v>2</v>
      </c>
      <c r="G50" s="22"/>
    </row>
    <row r="51" spans="1:7" ht="24" customHeight="1">
      <c r="A51" s="20">
        <v>48</v>
      </c>
      <c r="B51" s="21" t="s">
        <v>32</v>
      </c>
      <c r="C51" s="20" t="s">
        <v>183</v>
      </c>
      <c r="D51" s="17" t="s">
        <v>219</v>
      </c>
      <c r="E51" s="36" t="s">
        <v>248</v>
      </c>
      <c r="F51" s="36">
        <f>SUM(F47:F50)</f>
        <v>44.6</v>
      </c>
      <c r="G51" s="36"/>
    </row>
    <row r="52" spans="1:7" ht="24" customHeight="1">
      <c r="A52" s="20">
        <v>49</v>
      </c>
      <c r="B52" s="21" t="s">
        <v>32</v>
      </c>
      <c r="C52" s="20" t="s">
        <v>183</v>
      </c>
      <c r="D52" s="20" t="s">
        <v>249</v>
      </c>
      <c r="E52" s="22" t="s">
        <v>281</v>
      </c>
      <c r="F52" s="22">
        <v>10</v>
      </c>
      <c r="G52" s="22"/>
    </row>
    <row r="53" spans="1:7" ht="24" customHeight="1">
      <c r="A53" s="20">
        <v>50</v>
      </c>
      <c r="B53" s="21" t="s">
        <v>32</v>
      </c>
      <c r="C53" s="20" t="s">
        <v>183</v>
      </c>
      <c r="D53" s="20" t="s">
        <v>249</v>
      </c>
      <c r="E53" s="22" t="s">
        <v>282</v>
      </c>
      <c r="F53" s="22">
        <v>10</v>
      </c>
      <c r="G53" s="22"/>
    </row>
    <row r="54" spans="1:7" ht="24" customHeight="1">
      <c r="A54" s="20">
        <v>51</v>
      </c>
      <c r="B54" s="21" t="s">
        <v>32</v>
      </c>
      <c r="C54" s="20" t="s">
        <v>183</v>
      </c>
      <c r="D54" s="20" t="s">
        <v>249</v>
      </c>
      <c r="E54" s="22" t="s">
        <v>368</v>
      </c>
      <c r="F54" s="22">
        <v>45</v>
      </c>
      <c r="G54" s="22"/>
    </row>
    <row r="55" spans="1:7" ht="24" customHeight="1">
      <c r="A55" s="20">
        <v>52</v>
      </c>
      <c r="B55" s="21" t="s">
        <v>32</v>
      </c>
      <c r="C55" s="20" t="s">
        <v>183</v>
      </c>
      <c r="D55" s="20" t="s">
        <v>249</v>
      </c>
      <c r="E55" s="22" t="s">
        <v>284</v>
      </c>
      <c r="F55" s="22">
        <v>10</v>
      </c>
      <c r="G55" s="22"/>
    </row>
    <row r="56" spans="1:7" ht="24" customHeight="1">
      <c r="A56" s="20">
        <v>53</v>
      </c>
      <c r="B56" s="21" t="s">
        <v>32</v>
      </c>
      <c r="C56" s="20" t="s">
        <v>183</v>
      </c>
      <c r="D56" s="20" t="s">
        <v>249</v>
      </c>
      <c r="E56" s="22" t="s">
        <v>454</v>
      </c>
      <c r="F56" s="22">
        <v>10</v>
      </c>
      <c r="G56" s="22"/>
    </row>
    <row r="57" spans="1:7" ht="24" customHeight="1">
      <c r="A57" s="20">
        <v>54</v>
      </c>
      <c r="B57" s="21" t="s">
        <v>32</v>
      </c>
      <c r="C57" s="20" t="s">
        <v>183</v>
      </c>
      <c r="D57" s="17" t="s">
        <v>219</v>
      </c>
      <c r="E57" s="36" t="s">
        <v>255</v>
      </c>
      <c r="F57" s="36">
        <f>SUM(F52:F56)</f>
        <v>85</v>
      </c>
      <c r="G57" s="36"/>
    </row>
    <row r="58" spans="1:7" ht="24" customHeight="1">
      <c r="A58" s="20">
        <v>55</v>
      </c>
      <c r="B58" s="21" t="s">
        <v>32</v>
      </c>
      <c r="C58" s="20" t="s">
        <v>183</v>
      </c>
      <c r="D58" s="69" t="s">
        <v>256</v>
      </c>
      <c r="E58" s="28" t="s">
        <v>286</v>
      </c>
      <c r="F58" s="51">
        <v>10</v>
      </c>
      <c r="G58" s="22"/>
    </row>
    <row r="59" spans="1:7" ht="24" customHeight="1">
      <c r="A59" s="20">
        <v>56</v>
      </c>
      <c r="B59" s="21" t="s">
        <v>32</v>
      </c>
      <c r="C59" s="20" t="s">
        <v>183</v>
      </c>
      <c r="D59" s="17" t="s">
        <v>219</v>
      </c>
      <c r="E59" s="36" t="s">
        <v>258</v>
      </c>
      <c r="F59" s="36">
        <f>SUM(F58)</f>
        <v>10</v>
      </c>
      <c r="G59" s="36"/>
    </row>
    <row r="60" spans="1:7" ht="24" customHeight="1">
      <c r="A60" s="20">
        <v>57</v>
      </c>
      <c r="B60" s="21" t="s">
        <v>32</v>
      </c>
      <c r="C60" s="20" t="s">
        <v>183</v>
      </c>
      <c r="D60" s="20" t="s">
        <v>262</v>
      </c>
      <c r="E60" s="22" t="s">
        <v>425</v>
      </c>
      <c r="F60" s="22">
        <v>255</v>
      </c>
      <c r="G60" s="22"/>
    </row>
    <row r="61" spans="1:7" ht="24" customHeight="1">
      <c r="A61" s="20">
        <v>58</v>
      </c>
      <c r="B61" s="21" t="s">
        <v>32</v>
      </c>
      <c r="C61" s="20" t="s">
        <v>183</v>
      </c>
      <c r="D61" s="20" t="s">
        <v>262</v>
      </c>
      <c r="E61" s="22" t="s">
        <v>264</v>
      </c>
      <c r="F61" s="22">
        <v>40</v>
      </c>
      <c r="G61" s="22"/>
    </row>
    <row r="62" spans="1:7" ht="24" customHeight="1">
      <c r="A62" s="20">
        <v>59</v>
      </c>
      <c r="B62" s="21" t="s">
        <v>32</v>
      </c>
      <c r="C62" s="20" t="s">
        <v>183</v>
      </c>
      <c r="D62" s="20" t="s">
        <v>262</v>
      </c>
      <c r="E62" s="22" t="s">
        <v>265</v>
      </c>
      <c r="F62" s="22">
        <v>40</v>
      </c>
      <c r="G62" s="22"/>
    </row>
    <row r="63" spans="1:7" ht="24" customHeight="1">
      <c r="A63" s="20">
        <v>60</v>
      </c>
      <c r="B63" s="21" t="s">
        <v>32</v>
      </c>
      <c r="C63" s="20" t="s">
        <v>183</v>
      </c>
      <c r="D63" s="17" t="s">
        <v>219</v>
      </c>
      <c r="E63" s="36" t="s">
        <v>266</v>
      </c>
      <c r="F63" s="36">
        <f>SUM(F60:F62)</f>
        <v>335</v>
      </c>
      <c r="G63" s="36"/>
    </row>
    <row r="64" spans="1:7" ht="24" customHeight="1">
      <c r="A64" s="20">
        <v>61</v>
      </c>
      <c r="B64" s="21" t="s">
        <v>32</v>
      </c>
      <c r="C64" s="20" t="s">
        <v>183</v>
      </c>
      <c r="D64" s="17" t="s">
        <v>267</v>
      </c>
      <c r="E64" s="35" t="s">
        <v>455</v>
      </c>
      <c r="F64" s="35">
        <v>1856</v>
      </c>
      <c r="G64" s="36"/>
    </row>
    <row r="65" spans="1:7" ht="24" customHeight="1">
      <c r="A65" s="240" t="s">
        <v>958</v>
      </c>
      <c r="B65" s="240"/>
      <c r="C65" s="240"/>
      <c r="D65" s="240"/>
      <c r="E65" s="240"/>
      <c r="F65" s="240"/>
      <c r="G65" s="240"/>
    </row>
    <row r="66" spans="1:7" ht="24" customHeight="1"/>
  </sheetData>
  <autoFilter ref="A3:G65" xr:uid="{00000000-0009-0000-0000-00003E000000}"/>
  <mergeCells count="3">
    <mergeCell ref="A1:G1"/>
    <mergeCell ref="A2:G2"/>
    <mergeCell ref="A65:G65"/>
  </mergeCells>
  <phoneticPr fontId="23" type="noConversion"/>
  <pageMargins left="0.59055118110236204" right="0.196850393700787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57"/>
  <sheetViews>
    <sheetView view="pageBreakPreview" zoomScale="115" zoomScaleNormal="100" workbookViewId="0">
      <selection activeCell="E11" sqref="E11"/>
    </sheetView>
  </sheetViews>
  <sheetFormatPr defaultColWidth="9" defaultRowHeight="15.75"/>
  <cols>
    <col min="1" max="1" width="4.06640625" style="13" customWidth="1"/>
    <col min="2" max="2" width="9.9296875" style="14" customWidth="1"/>
    <col min="3" max="3" width="11.53125" style="13" customWidth="1"/>
    <col min="4" max="4" width="10.265625" style="13" customWidth="1"/>
    <col min="5" max="5" width="47.53125" style="13" customWidth="1"/>
    <col min="6" max="6" width="7.33203125" style="15" customWidth="1"/>
    <col min="7" max="7" width="10" style="13" customWidth="1"/>
    <col min="8" max="16384" width="9" style="16"/>
  </cols>
  <sheetData>
    <row r="1" spans="1:7" ht="27" customHeight="1">
      <c r="A1" s="229" t="s">
        <v>961</v>
      </c>
      <c r="B1" s="229"/>
      <c r="C1" s="229"/>
      <c r="D1" s="229"/>
      <c r="E1" s="229"/>
      <c r="F1" s="243"/>
      <c r="G1" s="243"/>
    </row>
    <row r="2" spans="1:7" ht="24" customHeight="1">
      <c r="A2" s="241" t="s">
        <v>962</v>
      </c>
      <c r="B2" s="241"/>
      <c r="C2" s="241"/>
      <c r="D2" s="241"/>
      <c r="E2" s="241"/>
      <c r="F2" s="241"/>
      <c r="G2" s="241"/>
    </row>
    <row r="3" spans="1:7" s="12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20" t="s">
        <v>159</v>
      </c>
      <c r="D4" s="20" t="s">
        <v>209</v>
      </c>
      <c r="E4" s="22" t="s">
        <v>210</v>
      </c>
      <c r="F4" s="23">
        <v>19</v>
      </c>
      <c r="G4" s="22"/>
    </row>
    <row r="5" spans="1:7" ht="24" customHeight="1">
      <c r="A5" s="20">
        <v>2</v>
      </c>
      <c r="B5" s="21" t="s">
        <v>23</v>
      </c>
      <c r="C5" s="20" t="s">
        <v>159</v>
      </c>
      <c r="D5" s="20" t="s">
        <v>209</v>
      </c>
      <c r="E5" s="22" t="s">
        <v>211</v>
      </c>
      <c r="F5" s="23">
        <v>15</v>
      </c>
      <c r="G5" s="22"/>
    </row>
    <row r="6" spans="1:7" ht="24" customHeight="1">
      <c r="A6" s="20">
        <v>3</v>
      </c>
      <c r="B6" s="21" t="s">
        <v>23</v>
      </c>
      <c r="C6" s="20" t="s">
        <v>159</v>
      </c>
      <c r="D6" s="20" t="s">
        <v>209</v>
      </c>
      <c r="E6" s="22" t="s">
        <v>212</v>
      </c>
      <c r="F6" s="23">
        <v>34</v>
      </c>
      <c r="G6" s="22"/>
    </row>
    <row r="7" spans="1:7" ht="24" customHeight="1">
      <c r="A7" s="20">
        <v>4</v>
      </c>
      <c r="B7" s="21" t="s">
        <v>23</v>
      </c>
      <c r="C7" s="20" t="s">
        <v>159</v>
      </c>
      <c r="D7" s="20" t="s">
        <v>209</v>
      </c>
      <c r="E7" s="22" t="s">
        <v>272</v>
      </c>
      <c r="F7" s="23">
        <v>34</v>
      </c>
      <c r="G7" s="22"/>
    </row>
    <row r="8" spans="1:7" ht="24" customHeight="1">
      <c r="A8" s="20">
        <v>5</v>
      </c>
      <c r="B8" s="21" t="s">
        <v>23</v>
      </c>
      <c r="C8" s="20" t="s">
        <v>159</v>
      </c>
      <c r="D8" s="20" t="s">
        <v>209</v>
      </c>
      <c r="E8" s="22" t="s">
        <v>214</v>
      </c>
      <c r="F8" s="23">
        <v>26</v>
      </c>
      <c r="G8" s="22"/>
    </row>
    <row r="9" spans="1:7" ht="24" customHeight="1">
      <c r="A9" s="20">
        <v>6</v>
      </c>
      <c r="B9" s="21" t="s">
        <v>23</v>
      </c>
      <c r="C9" s="20" t="s">
        <v>159</v>
      </c>
      <c r="D9" s="20" t="s">
        <v>209</v>
      </c>
      <c r="E9" s="22" t="s">
        <v>312</v>
      </c>
      <c r="F9" s="23">
        <v>10</v>
      </c>
      <c r="G9" s="22"/>
    </row>
    <row r="10" spans="1:7" ht="24" customHeight="1">
      <c r="A10" s="20">
        <v>7</v>
      </c>
      <c r="B10" s="21" t="s">
        <v>23</v>
      </c>
      <c r="C10" s="20" t="s">
        <v>159</v>
      </c>
      <c r="D10" s="20" t="s">
        <v>209</v>
      </c>
      <c r="E10" s="22" t="s">
        <v>216</v>
      </c>
      <c r="F10" s="23">
        <v>35</v>
      </c>
      <c r="G10" s="22"/>
    </row>
    <row r="11" spans="1:7" ht="24" customHeight="1">
      <c r="A11" s="20">
        <v>8</v>
      </c>
      <c r="B11" s="21" t="s">
        <v>23</v>
      </c>
      <c r="C11" s="20" t="s">
        <v>159</v>
      </c>
      <c r="D11" s="20" t="s">
        <v>209</v>
      </c>
      <c r="E11" s="22" t="s">
        <v>292</v>
      </c>
      <c r="F11" s="23">
        <v>12</v>
      </c>
      <c r="G11" s="22"/>
    </row>
    <row r="12" spans="1:7" ht="24" customHeight="1">
      <c r="A12" s="20">
        <v>9</v>
      </c>
      <c r="B12" s="21" t="s">
        <v>23</v>
      </c>
      <c r="C12" s="20" t="s">
        <v>159</v>
      </c>
      <c r="D12" s="20" t="s">
        <v>209</v>
      </c>
      <c r="E12" s="22" t="s">
        <v>313</v>
      </c>
      <c r="F12" s="23">
        <v>55</v>
      </c>
      <c r="G12" s="22"/>
    </row>
    <row r="13" spans="1:7" ht="24" customHeight="1">
      <c r="A13" s="20">
        <v>10</v>
      </c>
      <c r="B13" s="21" t="s">
        <v>23</v>
      </c>
      <c r="C13" s="20" t="s">
        <v>159</v>
      </c>
      <c r="D13" s="20" t="s">
        <v>209</v>
      </c>
      <c r="E13" s="22" t="s">
        <v>218</v>
      </c>
      <c r="F13" s="23">
        <v>10</v>
      </c>
      <c r="G13" s="22"/>
    </row>
    <row r="14" spans="1:7" ht="24" customHeight="1">
      <c r="A14" s="20">
        <v>11</v>
      </c>
      <c r="B14" s="21" t="s">
        <v>23</v>
      </c>
      <c r="C14" s="20" t="s">
        <v>159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7" ht="24" customHeight="1">
      <c r="A15" s="20">
        <v>12</v>
      </c>
      <c r="B15" s="21" t="s">
        <v>23</v>
      </c>
      <c r="C15" s="20" t="s">
        <v>159</v>
      </c>
      <c r="D15" s="20" t="s">
        <v>221</v>
      </c>
      <c r="E15" s="22" t="s">
        <v>222</v>
      </c>
      <c r="F15" s="23">
        <v>14</v>
      </c>
      <c r="G15" s="22"/>
    </row>
    <row r="16" spans="1:7" ht="24" customHeight="1">
      <c r="A16" s="20">
        <v>13</v>
      </c>
      <c r="B16" s="21" t="s">
        <v>23</v>
      </c>
      <c r="C16" s="20" t="s">
        <v>159</v>
      </c>
      <c r="D16" s="20" t="s">
        <v>221</v>
      </c>
      <c r="E16" s="22" t="s">
        <v>223</v>
      </c>
      <c r="F16" s="23">
        <v>22</v>
      </c>
      <c r="G16" s="22"/>
    </row>
    <row r="17" spans="1:7" ht="24" customHeight="1">
      <c r="A17" s="20">
        <v>14</v>
      </c>
      <c r="B17" s="21" t="s">
        <v>23</v>
      </c>
      <c r="C17" s="20" t="s">
        <v>159</v>
      </c>
      <c r="D17" s="20" t="s">
        <v>221</v>
      </c>
      <c r="E17" s="22" t="s">
        <v>314</v>
      </c>
      <c r="F17" s="23">
        <v>9</v>
      </c>
      <c r="G17" s="22"/>
    </row>
    <row r="18" spans="1:7" ht="24" customHeight="1">
      <c r="A18" s="20">
        <v>15</v>
      </c>
      <c r="B18" s="21" t="s">
        <v>23</v>
      </c>
      <c r="C18" s="20" t="s">
        <v>159</v>
      </c>
      <c r="D18" s="20" t="s">
        <v>221</v>
      </c>
      <c r="E18" s="22" t="s">
        <v>225</v>
      </c>
      <c r="F18" s="23">
        <v>20</v>
      </c>
      <c r="G18" s="22"/>
    </row>
    <row r="19" spans="1:7" ht="24" customHeight="1">
      <c r="A19" s="20">
        <v>16</v>
      </c>
      <c r="B19" s="21" t="s">
        <v>23</v>
      </c>
      <c r="C19" s="20" t="s">
        <v>159</v>
      </c>
      <c r="D19" s="20" t="s">
        <v>221</v>
      </c>
      <c r="E19" s="22" t="s">
        <v>294</v>
      </c>
      <c r="F19" s="23">
        <v>22</v>
      </c>
      <c r="G19" s="22"/>
    </row>
    <row r="20" spans="1:7" ht="24" customHeight="1">
      <c r="A20" s="20">
        <v>17</v>
      </c>
      <c r="B20" s="21" t="s">
        <v>23</v>
      </c>
      <c r="C20" s="20" t="s">
        <v>159</v>
      </c>
      <c r="D20" s="20" t="s">
        <v>221</v>
      </c>
      <c r="E20" s="22" t="s">
        <v>227</v>
      </c>
      <c r="F20" s="23">
        <v>20</v>
      </c>
      <c r="G20" s="22"/>
    </row>
    <row r="21" spans="1:7" ht="24" customHeight="1">
      <c r="A21" s="20">
        <v>18</v>
      </c>
      <c r="B21" s="21" t="s">
        <v>23</v>
      </c>
      <c r="C21" s="20" t="s">
        <v>159</v>
      </c>
      <c r="D21" s="17" t="s">
        <v>219</v>
      </c>
      <c r="E21" s="36" t="s">
        <v>228</v>
      </c>
      <c r="F21" s="37">
        <f>SUM(F15:F20)</f>
        <v>107</v>
      </c>
      <c r="G21" s="36"/>
    </row>
    <row r="22" spans="1:7" ht="24" customHeight="1">
      <c r="A22" s="20">
        <v>19</v>
      </c>
      <c r="B22" s="21" t="s">
        <v>23</v>
      </c>
      <c r="C22" s="20" t="s">
        <v>159</v>
      </c>
      <c r="D22" s="20" t="s">
        <v>229</v>
      </c>
      <c r="E22" s="22" t="s">
        <v>230</v>
      </c>
      <c r="F22" s="23">
        <v>14</v>
      </c>
      <c r="G22" s="22"/>
    </row>
    <row r="23" spans="1:7" ht="24" customHeight="1">
      <c r="A23" s="20">
        <v>20</v>
      </c>
      <c r="B23" s="21" t="s">
        <v>23</v>
      </c>
      <c r="C23" s="20" t="s">
        <v>159</v>
      </c>
      <c r="D23" s="20" t="s">
        <v>229</v>
      </c>
      <c r="E23" s="22" t="s">
        <v>231</v>
      </c>
      <c r="F23" s="23">
        <v>32</v>
      </c>
      <c r="G23" s="22"/>
    </row>
    <row r="24" spans="1:7" ht="24" customHeight="1">
      <c r="A24" s="20">
        <v>21</v>
      </c>
      <c r="B24" s="21" t="s">
        <v>23</v>
      </c>
      <c r="C24" s="20" t="s">
        <v>159</v>
      </c>
      <c r="D24" s="20" t="s">
        <v>229</v>
      </c>
      <c r="E24" s="22" t="s">
        <v>232</v>
      </c>
      <c r="F24" s="23">
        <v>18</v>
      </c>
      <c r="G24" s="22"/>
    </row>
    <row r="25" spans="1:7" ht="24" customHeight="1">
      <c r="A25" s="20">
        <v>22</v>
      </c>
      <c r="B25" s="21" t="s">
        <v>23</v>
      </c>
      <c r="C25" s="20" t="s">
        <v>159</v>
      </c>
      <c r="D25" s="20" t="s">
        <v>229</v>
      </c>
      <c r="E25" s="22" t="s">
        <v>315</v>
      </c>
      <c r="F25" s="23">
        <v>25</v>
      </c>
      <c r="G25" s="22"/>
    </row>
    <row r="26" spans="1:7" ht="24" customHeight="1">
      <c r="A26" s="20">
        <v>23</v>
      </c>
      <c r="B26" s="21" t="s">
        <v>23</v>
      </c>
      <c r="C26" s="20" t="s">
        <v>159</v>
      </c>
      <c r="D26" s="20" t="s">
        <v>229</v>
      </c>
      <c r="E26" s="22" t="s">
        <v>237</v>
      </c>
      <c r="F26" s="23">
        <v>8</v>
      </c>
      <c r="G26" s="22"/>
    </row>
    <row r="27" spans="1:7" ht="24" customHeight="1">
      <c r="A27" s="20">
        <v>24</v>
      </c>
      <c r="B27" s="21" t="s">
        <v>23</v>
      </c>
      <c r="C27" s="20" t="s">
        <v>159</v>
      </c>
      <c r="D27" s="17" t="s">
        <v>219</v>
      </c>
      <c r="E27" s="36" t="s">
        <v>238</v>
      </c>
      <c r="F27" s="37">
        <f>SUM(F22:F26)</f>
        <v>97</v>
      </c>
      <c r="G27" s="36"/>
    </row>
    <row r="28" spans="1:7" ht="24" customHeight="1">
      <c r="A28" s="20">
        <v>25</v>
      </c>
      <c r="B28" s="21" t="s">
        <v>23</v>
      </c>
      <c r="C28" s="20" t="s">
        <v>159</v>
      </c>
      <c r="D28" s="20" t="s">
        <v>239</v>
      </c>
      <c r="E28" s="22" t="s">
        <v>240</v>
      </c>
      <c r="F28" s="23">
        <v>70</v>
      </c>
      <c r="G28" s="22"/>
    </row>
    <row r="29" spans="1:7" ht="24" customHeight="1">
      <c r="A29" s="20">
        <v>26</v>
      </c>
      <c r="B29" s="21" t="s">
        <v>23</v>
      </c>
      <c r="C29" s="20" t="s">
        <v>159</v>
      </c>
      <c r="D29" s="20" t="s">
        <v>239</v>
      </c>
      <c r="E29" s="22" t="s">
        <v>241</v>
      </c>
      <c r="F29" s="23">
        <v>60</v>
      </c>
      <c r="G29" s="22"/>
    </row>
    <row r="30" spans="1:7" ht="24" customHeight="1">
      <c r="A30" s="20">
        <v>27</v>
      </c>
      <c r="B30" s="21" t="s">
        <v>23</v>
      </c>
      <c r="C30" s="20" t="s">
        <v>159</v>
      </c>
      <c r="D30" s="17" t="s">
        <v>219</v>
      </c>
      <c r="E30" s="36" t="s">
        <v>242</v>
      </c>
      <c r="F30" s="37">
        <f>SUM(F28:F29)</f>
        <v>130</v>
      </c>
      <c r="G30" s="36"/>
    </row>
    <row r="31" spans="1:7" ht="24" customHeight="1">
      <c r="A31" s="20">
        <v>28</v>
      </c>
      <c r="B31" s="21" t="s">
        <v>23</v>
      </c>
      <c r="C31" s="20" t="s">
        <v>159</v>
      </c>
      <c r="D31" s="20" t="s">
        <v>259</v>
      </c>
      <c r="E31" s="22" t="s">
        <v>317</v>
      </c>
      <c r="F31" s="27">
        <v>10</v>
      </c>
      <c r="G31" s="22"/>
    </row>
    <row r="32" spans="1:7" ht="24" customHeight="1">
      <c r="A32" s="20">
        <v>29</v>
      </c>
      <c r="B32" s="21" t="s">
        <v>23</v>
      </c>
      <c r="C32" s="20" t="s">
        <v>159</v>
      </c>
      <c r="D32" s="20" t="s">
        <v>259</v>
      </c>
      <c r="E32" s="22" t="s">
        <v>318</v>
      </c>
      <c r="F32" s="27">
        <v>5</v>
      </c>
      <c r="G32" s="22"/>
    </row>
    <row r="33" spans="1:10" ht="24" customHeight="1">
      <c r="A33" s="20">
        <v>30</v>
      </c>
      <c r="B33" s="21" t="s">
        <v>23</v>
      </c>
      <c r="C33" s="20" t="s">
        <v>159</v>
      </c>
      <c r="D33" s="20" t="s">
        <v>259</v>
      </c>
      <c r="E33" s="22" t="s">
        <v>963</v>
      </c>
      <c r="F33" s="23">
        <v>60</v>
      </c>
      <c r="G33" s="22" t="s">
        <v>950</v>
      </c>
    </row>
    <row r="34" spans="1:10" ht="24" customHeight="1">
      <c r="A34" s="20"/>
      <c r="B34" s="21" t="s">
        <v>23</v>
      </c>
      <c r="C34" s="20" t="s">
        <v>159</v>
      </c>
      <c r="D34" s="20" t="s">
        <v>259</v>
      </c>
      <c r="E34" s="22" t="s">
        <v>964</v>
      </c>
      <c r="F34" s="27">
        <v>5</v>
      </c>
      <c r="G34" s="22"/>
    </row>
    <row r="35" spans="1:10" ht="24" customHeight="1">
      <c r="A35" s="20">
        <v>31</v>
      </c>
      <c r="B35" s="21" t="s">
        <v>23</v>
      </c>
      <c r="C35" s="20" t="s">
        <v>159</v>
      </c>
      <c r="D35" s="17" t="s">
        <v>219</v>
      </c>
      <c r="E35" s="36" t="s">
        <v>261</v>
      </c>
      <c r="F35" s="37">
        <f>SUM(F31:F34)</f>
        <v>80</v>
      </c>
      <c r="G35" s="36"/>
    </row>
    <row r="36" spans="1:10" ht="24" customHeight="1">
      <c r="A36" s="20">
        <v>32</v>
      </c>
      <c r="B36" s="21" t="s">
        <v>23</v>
      </c>
      <c r="C36" s="20" t="s">
        <v>159</v>
      </c>
      <c r="D36" s="20" t="s">
        <v>243</v>
      </c>
      <c r="E36" s="22" t="s">
        <v>319</v>
      </c>
      <c r="F36" s="23">
        <v>6</v>
      </c>
      <c r="G36" s="22"/>
    </row>
    <row r="37" spans="1:10" ht="24" customHeight="1">
      <c r="A37" s="20">
        <v>33</v>
      </c>
      <c r="B37" s="21" t="s">
        <v>23</v>
      </c>
      <c r="C37" s="20" t="s">
        <v>159</v>
      </c>
      <c r="D37" s="20" t="s">
        <v>243</v>
      </c>
      <c r="E37" s="22" t="s">
        <v>320</v>
      </c>
      <c r="F37" s="23">
        <v>6</v>
      </c>
      <c r="G37" s="22"/>
    </row>
    <row r="38" spans="1:10" ht="24" customHeight="1">
      <c r="A38" s="20">
        <v>34</v>
      </c>
      <c r="B38" s="21" t="s">
        <v>23</v>
      </c>
      <c r="C38" s="20" t="s">
        <v>159</v>
      </c>
      <c r="D38" s="20" t="s">
        <v>243</v>
      </c>
      <c r="E38" s="22" t="s">
        <v>321</v>
      </c>
      <c r="F38" s="23">
        <v>10.56</v>
      </c>
      <c r="G38" s="22"/>
    </row>
    <row r="39" spans="1:10" ht="24" customHeight="1">
      <c r="A39" s="20">
        <v>35</v>
      </c>
      <c r="B39" s="21" t="s">
        <v>23</v>
      </c>
      <c r="C39" s="20" t="s">
        <v>159</v>
      </c>
      <c r="D39" s="20" t="s">
        <v>243</v>
      </c>
      <c r="E39" s="22" t="s">
        <v>247</v>
      </c>
      <c r="F39" s="23">
        <v>2</v>
      </c>
      <c r="G39" s="22"/>
    </row>
    <row r="40" spans="1:10" ht="24" customHeight="1">
      <c r="A40" s="20">
        <v>36</v>
      </c>
      <c r="B40" s="21" t="s">
        <v>23</v>
      </c>
      <c r="C40" s="20" t="s">
        <v>159</v>
      </c>
      <c r="D40" s="17" t="s">
        <v>219</v>
      </c>
      <c r="E40" s="36" t="s">
        <v>248</v>
      </c>
      <c r="F40" s="37">
        <f>SUM(F36:F39)</f>
        <v>24.56</v>
      </c>
      <c r="G40" s="36"/>
    </row>
    <row r="41" spans="1:10" ht="24" customHeight="1">
      <c r="A41" s="20">
        <v>37</v>
      </c>
      <c r="B41" s="21" t="s">
        <v>23</v>
      </c>
      <c r="C41" s="20" t="s">
        <v>159</v>
      </c>
      <c r="D41" s="20" t="s">
        <v>249</v>
      </c>
      <c r="E41" s="22" t="s">
        <v>304</v>
      </c>
      <c r="F41" s="23">
        <v>7</v>
      </c>
      <c r="G41" s="22"/>
    </row>
    <row r="42" spans="1:10" ht="24" customHeight="1">
      <c r="A42" s="20">
        <v>38</v>
      </c>
      <c r="B42" s="21" t="s">
        <v>23</v>
      </c>
      <c r="C42" s="20" t="s">
        <v>159</v>
      </c>
      <c r="D42" s="20" t="s">
        <v>249</v>
      </c>
      <c r="E42" s="22" t="s">
        <v>251</v>
      </c>
      <c r="F42" s="23">
        <v>7</v>
      </c>
      <c r="G42" s="22"/>
    </row>
    <row r="43" spans="1:10" ht="24" customHeight="1">
      <c r="A43" s="20">
        <v>39</v>
      </c>
      <c r="B43" s="65" t="s">
        <v>23</v>
      </c>
      <c r="C43" s="20" t="s">
        <v>159</v>
      </c>
      <c r="D43" s="38" t="s">
        <v>249</v>
      </c>
      <c r="E43" s="34" t="s">
        <v>865</v>
      </c>
      <c r="F43" s="40">
        <v>0</v>
      </c>
      <c r="G43" s="34" t="s">
        <v>889</v>
      </c>
      <c r="H43" s="47"/>
      <c r="I43" s="47"/>
      <c r="J43" s="47"/>
    </row>
    <row r="44" spans="1:10" ht="24" customHeight="1">
      <c r="A44" s="20">
        <v>40</v>
      </c>
      <c r="B44" s="65" t="s">
        <v>23</v>
      </c>
      <c r="C44" s="20" t="s">
        <v>159</v>
      </c>
      <c r="D44" s="38" t="s">
        <v>249</v>
      </c>
      <c r="E44" s="34" t="s">
        <v>894</v>
      </c>
      <c r="F44" s="40">
        <v>2</v>
      </c>
      <c r="G44" s="34"/>
      <c r="H44" s="47"/>
      <c r="I44" s="47"/>
      <c r="J44" s="47"/>
    </row>
    <row r="45" spans="1:10" ht="24" customHeight="1">
      <c r="A45" s="20">
        <v>41</v>
      </c>
      <c r="B45" s="65" t="s">
        <v>23</v>
      </c>
      <c r="C45" s="20" t="s">
        <v>159</v>
      </c>
      <c r="D45" s="38" t="s">
        <v>249</v>
      </c>
      <c r="E45" s="34" t="s">
        <v>600</v>
      </c>
      <c r="F45" s="40">
        <v>0</v>
      </c>
      <c r="G45" s="34"/>
      <c r="H45" s="47"/>
      <c r="I45" s="47"/>
      <c r="J45" s="47"/>
    </row>
    <row r="46" spans="1:10" ht="24" customHeight="1">
      <c r="A46" s="20">
        <v>42</v>
      </c>
      <c r="B46" s="65" t="s">
        <v>23</v>
      </c>
      <c r="C46" s="20" t="s">
        <v>159</v>
      </c>
      <c r="D46" s="38" t="s">
        <v>249</v>
      </c>
      <c r="E46" s="34" t="s">
        <v>895</v>
      </c>
      <c r="F46" s="40">
        <v>40</v>
      </c>
      <c r="G46" s="34"/>
      <c r="H46" s="47"/>
      <c r="I46" s="47"/>
      <c r="J46" s="47"/>
    </row>
    <row r="47" spans="1:10" ht="24" customHeight="1">
      <c r="A47" s="20">
        <v>43</v>
      </c>
      <c r="B47" s="65" t="s">
        <v>23</v>
      </c>
      <c r="C47" s="20" t="s">
        <v>159</v>
      </c>
      <c r="D47" s="38" t="s">
        <v>249</v>
      </c>
      <c r="E47" s="34" t="s">
        <v>896</v>
      </c>
      <c r="F47" s="40">
        <v>22.5</v>
      </c>
      <c r="G47" s="34"/>
      <c r="H47" s="47"/>
      <c r="I47" s="47"/>
      <c r="J47" s="47"/>
    </row>
    <row r="48" spans="1:10" ht="24" customHeight="1">
      <c r="A48" s="20">
        <v>44</v>
      </c>
      <c r="B48" s="21" t="s">
        <v>23</v>
      </c>
      <c r="C48" s="20" t="s">
        <v>159</v>
      </c>
      <c r="D48" s="20" t="s">
        <v>249</v>
      </c>
      <c r="E48" s="22" t="s">
        <v>253</v>
      </c>
      <c r="F48" s="23">
        <v>7</v>
      </c>
      <c r="G48" s="22"/>
    </row>
    <row r="49" spans="1:7" ht="24" customHeight="1">
      <c r="A49" s="20">
        <v>45</v>
      </c>
      <c r="B49" s="21" t="s">
        <v>23</v>
      </c>
      <c r="C49" s="20" t="s">
        <v>159</v>
      </c>
      <c r="D49" s="20" t="s">
        <v>249</v>
      </c>
      <c r="E49" s="22" t="s">
        <v>322</v>
      </c>
      <c r="F49" s="23">
        <v>2</v>
      </c>
      <c r="G49" s="22"/>
    </row>
    <row r="50" spans="1:7" ht="24" customHeight="1">
      <c r="A50" s="20">
        <v>46</v>
      </c>
      <c r="B50" s="21" t="s">
        <v>23</v>
      </c>
      <c r="C50" s="20" t="s">
        <v>159</v>
      </c>
      <c r="D50" s="20" t="s">
        <v>249</v>
      </c>
      <c r="E50" s="22" t="s">
        <v>944</v>
      </c>
      <c r="F50" s="23">
        <v>20</v>
      </c>
      <c r="G50" s="20" t="s">
        <v>200</v>
      </c>
    </row>
    <row r="51" spans="1:7" ht="24" customHeight="1">
      <c r="A51" s="20">
        <v>47</v>
      </c>
      <c r="B51" s="21" t="s">
        <v>23</v>
      </c>
      <c r="C51" s="20" t="s">
        <v>159</v>
      </c>
      <c r="D51" s="17" t="s">
        <v>219</v>
      </c>
      <c r="E51" s="36" t="s">
        <v>255</v>
      </c>
      <c r="F51" s="37">
        <f>SUM(F41:F50)</f>
        <v>107.5</v>
      </c>
      <c r="G51" s="36"/>
    </row>
    <row r="52" spans="1:7" ht="24" customHeight="1">
      <c r="A52" s="20">
        <v>48</v>
      </c>
      <c r="B52" s="21" t="s">
        <v>23</v>
      </c>
      <c r="C52" s="20" t="s">
        <v>159</v>
      </c>
      <c r="D52" s="20" t="s">
        <v>262</v>
      </c>
      <c r="E52" s="22" t="s">
        <v>263</v>
      </c>
      <c r="F52" s="23">
        <v>75</v>
      </c>
      <c r="G52" s="22"/>
    </row>
    <row r="53" spans="1:7" ht="24" customHeight="1">
      <c r="A53" s="20">
        <v>49</v>
      </c>
      <c r="B53" s="21" t="s">
        <v>23</v>
      </c>
      <c r="C53" s="20" t="s">
        <v>159</v>
      </c>
      <c r="D53" s="20" t="s">
        <v>262</v>
      </c>
      <c r="E53" s="22" t="s">
        <v>316</v>
      </c>
      <c r="F53" s="23">
        <v>40</v>
      </c>
      <c r="G53" s="22"/>
    </row>
    <row r="54" spans="1:7" ht="24" customHeight="1">
      <c r="A54" s="20">
        <v>50</v>
      </c>
      <c r="B54" s="21" t="s">
        <v>23</v>
      </c>
      <c r="C54" s="20" t="s">
        <v>159</v>
      </c>
      <c r="D54" s="20" t="s">
        <v>262</v>
      </c>
      <c r="E54" s="22" t="s">
        <v>265</v>
      </c>
      <c r="F54" s="23">
        <v>20</v>
      </c>
      <c r="G54" s="22"/>
    </row>
    <row r="55" spans="1:7" ht="24" customHeight="1">
      <c r="A55" s="20">
        <v>51</v>
      </c>
      <c r="B55" s="21" t="s">
        <v>23</v>
      </c>
      <c r="C55" s="20" t="s">
        <v>159</v>
      </c>
      <c r="D55" s="17" t="s">
        <v>219</v>
      </c>
      <c r="E55" s="36" t="s">
        <v>266</v>
      </c>
      <c r="F55" s="37">
        <f>SUM(F52:F54)</f>
        <v>135</v>
      </c>
      <c r="G55" s="36"/>
    </row>
    <row r="56" spans="1:7" ht="24" customHeight="1">
      <c r="A56" s="20">
        <v>52</v>
      </c>
      <c r="B56" s="21" t="s">
        <v>23</v>
      </c>
      <c r="C56" s="20" t="s">
        <v>159</v>
      </c>
      <c r="D56" s="17" t="s">
        <v>267</v>
      </c>
      <c r="E56" s="36" t="s">
        <v>897</v>
      </c>
      <c r="F56" s="37">
        <v>931</v>
      </c>
      <c r="G56" s="36"/>
    </row>
    <row r="57" spans="1:7" ht="24" customHeight="1">
      <c r="A57" s="240" t="s">
        <v>965</v>
      </c>
      <c r="B57" s="240"/>
      <c r="C57" s="240"/>
      <c r="D57" s="240"/>
      <c r="E57" s="240"/>
      <c r="F57" s="240"/>
      <c r="G57" s="240"/>
    </row>
  </sheetData>
  <autoFilter ref="A3:G57" xr:uid="{00000000-0009-0000-0000-00003F000000}"/>
  <mergeCells count="3">
    <mergeCell ref="A1:G1"/>
    <mergeCell ref="A2:G2"/>
    <mergeCell ref="A57:G57"/>
  </mergeCells>
  <phoneticPr fontId="23" type="noConversion"/>
  <pageMargins left="0.23" right="0.15748031496063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51"/>
  <sheetViews>
    <sheetView view="pageBreakPreview" topLeftCell="A22" zoomScaleNormal="100" workbookViewId="0">
      <selection activeCell="E7" sqref="E7"/>
    </sheetView>
  </sheetViews>
  <sheetFormatPr defaultColWidth="9" defaultRowHeight="15.75"/>
  <cols>
    <col min="1" max="1" width="4.06640625" style="13" customWidth="1"/>
    <col min="2" max="2" width="9.59765625" style="14" customWidth="1"/>
    <col min="3" max="3" width="10.9296875" style="13" customWidth="1"/>
    <col min="4" max="4" width="11.59765625" style="13" customWidth="1"/>
    <col min="5" max="5" width="46.19921875" style="13" customWidth="1"/>
    <col min="6" max="6" width="8.9296875" style="13" customWidth="1"/>
    <col min="7" max="7" width="9.59765625" style="13" customWidth="1"/>
    <col min="8" max="16384" width="9" style="16"/>
  </cols>
  <sheetData>
    <row r="1" spans="1:7" ht="30" customHeight="1">
      <c r="A1" s="229" t="s">
        <v>966</v>
      </c>
      <c r="B1" s="229"/>
      <c r="C1" s="229"/>
      <c r="D1" s="229"/>
      <c r="E1" s="229"/>
      <c r="F1" s="229"/>
      <c r="G1" s="229"/>
    </row>
    <row r="2" spans="1:7" ht="24" customHeight="1">
      <c r="A2" s="241" t="s">
        <v>967</v>
      </c>
      <c r="B2" s="241"/>
      <c r="C2" s="241"/>
      <c r="D2" s="241"/>
      <c r="E2" s="241"/>
      <c r="F2" s="241"/>
      <c r="G2" s="241"/>
    </row>
    <row r="3" spans="1:7" s="12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20" t="s">
        <v>27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23</v>
      </c>
      <c r="C5" s="20" t="s">
        <v>27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23</v>
      </c>
      <c r="C6" s="20" t="s">
        <v>27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23</v>
      </c>
      <c r="C7" s="20" t="s">
        <v>27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23</v>
      </c>
      <c r="C8" s="20" t="s">
        <v>27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23</v>
      </c>
      <c r="C9" s="20" t="s">
        <v>27</v>
      </c>
      <c r="D9" s="20" t="s">
        <v>209</v>
      </c>
      <c r="E9" s="22" t="s">
        <v>312</v>
      </c>
      <c r="F9" s="22">
        <v>10</v>
      </c>
      <c r="G9" s="22"/>
    </row>
    <row r="10" spans="1:7" ht="24" customHeight="1">
      <c r="A10" s="20">
        <v>7</v>
      </c>
      <c r="B10" s="21" t="s">
        <v>23</v>
      </c>
      <c r="C10" s="20" t="s">
        <v>27</v>
      </c>
      <c r="D10" s="20" t="s">
        <v>209</v>
      </c>
      <c r="E10" s="22" t="s">
        <v>216</v>
      </c>
      <c r="F10" s="22">
        <v>35</v>
      </c>
      <c r="G10" s="22"/>
    </row>
    <row r="11" spans="1:7" ht="24" customHeight="1">
      <c r="A11" s="20">
        <v>8</v>
      </c>
      <c r="B11" s="21" t="s">
        <v>23</v>
      </c>
      <c r="C11" s="20" t="s">
        <v>27</v>
      </c>
      <c r="D11" s="20" t="s">
        <v>209</v>
      </c>
      <c r="E11" s="22" t="s">
        <v>292</v>
      </c>
      <c r="F11" s="22">
        <v>12</v>
      </c>
      <c r="G11" s="22"/>
    </row>
    <row r="12" spans="1:7" ht="24" customHeight="1">
      <c r="A12" s="20">
        <v>9</v>
      </c>
      <c r="B12" s="21" t="s">
        <v>23</v>
      </c>
      <c r="C12" s="20" t="s">
        <v>27</v>
      </c>
      <c r="D12" s="20" t="s">
        <v>209</v>
      </c>
      <c r="E12" s="22" t="s">
        <v>313</v>
      </c>
      <c r="F12" s="22">
        <v>55</v>
      </c>
      <c r="G12" s="22"/>
    </row>
    <row r="13" spans="1:7" ht="24" customHeight="1">
      <c r="A13" s="20">
        <v>10</v>
      </c>
      <c r="B13" s="21" t="s">
        <v>23</v>
      </c>
      <c r="C13" s="20" t="s">
        <v>27</v>
      </c>
      <c r="D13" s="20" t="s">
        <v>209</v>
      </c>
      <c r="E13" s="22" t="s">
        <v>218</v>
      </c>
      <c r="F13" s="22">
        <v>10</v>
      </c>
      <c r="G13" s="22"/>
    </row>
    <row r="14" spans="1:7" ht="24" customHeight="1">
      <c r="A14" s="20">
        <v>11</v>
      </c>
      <c r="B14" s="21" t="s">
        <v>23</v>
      </c>
      <c r="C14" s="20" t="s">
        <v>27</v>
      </c>
      <c r="D14" s="17" t="s">
        <v>219</v>
      </c>
      <c r="E14" s="36" t="s">
        <v>220</v>
      </c>
      <c r="F14" s="36">
        <f>SUM(F4:F13)</f>
        <v>250</v>
      </c>
      <c r="G14" s="36"/>
    </row>
    <row r="15" spans="1:7" ht="24" customHeight="1">
      <c r="A15" s="20">
        <v>12</v>
      </c>
      <c r="B15" s="21" t="s">
        <v>23</v>
      </c>
      <c r="C15" s="20" t="s">
        <v>27</v>
      </c>
      <c r="D15" s="20" t="s">
        <v>221</v>
      </c>
      <c r="E15" s="22" t="s">
        <v>222</v>
      </c>
      <c r="F15" s="22">
        <v>14</v>
      </c>
      <c r="G15" s="22"/>
    </row>
    <row r="16" spans="1:7" ht="24" customHeight="1">
      <c r="A16" s="20">
        <v>13</v>
      </c>
      <c r="B16" s="21" t="s">
        <v>23</v>
      </c>
      <c r="C16" s="20" t="s">
        <v>27</v>
      </c>
      <c r="D16" s="20" t="s">
        <v>221</v>
      </c>
      <c r="E16" s="22" t="s">
        <v>223</v>
      </c>
      <c r="F16" s="22">
        <v>22</v>
      </c>
      <c r="G16" s="22"/>
    </row>
    <row r="17" spans="1:7" ht="24" customHeight="1">
      <c r="A17" s="20">
        <v>14</v>
      </c>
      <c r="B17" s="21" t="s">
        <v>23</v>
      </c>
      <c r="C17" s="20" t="s">
        <v>27</v>
      </c>
      <c r="D17" s="20" t="s">
        <v>221</v>
      </c>
      <c r="E17" s="22" t="s">
        <v>314</v>
      </c>
      <c r="F17" s="22">
        <v>9</v>
      </c>
      <c r="G17" s="22"/>
    </row>
    <row r="18" spans="1:7" ht="24" customHeight="1">
      <c r="A18" s="20">
        <v>15</v>
      </c>
      <c r="B18" s="21" t="s">
        <v>23</v>
      </c>
      <c r="C18" s="20" t="s">
        <v>27</v>
      </c>
      <c r="D18" s="20" t="s">
        <v>221</v>
      </c>
      <c r="E18" s="22" t="s">
        <v>225</v>
      </c>
      <c r="F18" s="22">
        <v>20</v>
      </c>
      <c r="G18" s="22"/>
    </row>
    <row r="19" spans="1:7" ht="24" customHeight="1">
      <c r="A19" s="20">
        <v>16</v>
      </c>
      <c r="B19" s="21" t="s">
        <v>23</v>
      </c>
      <c r="C19" s="20" t="s">
        <v>27</v>
      </c>
      <c r="D19" s="20" t="s">
        <v>221</v>
      </c>
      <c r="E19" s="22" t="s">
        <v>226</v>
      </c>
      <c r="F19" s="22">
        <v>22</v>
      </c>
      <c r="G19" s="22"/>
    </row>
    <row r="20" spans="1:7" ht="24" customHeight="1">
      <c r="A20" s="20">
        <v>17</v>
      </c>
      <c r="B20" s="21" t="s">
        <v>23</v>
      </c>
      <c r="C20" s="20" t="s">
        <v>27</v>
      </c>
      <c r="D20" s="20" t="s">
        <v>221</v>
      </c>
      <c r="E20" s="22" t="s">
        <v>227</v>
      </c>
      <c r="F20" s="22">
        <v>20</v>
      </c>
      <c r="G20" s="22"/>
    </row>
    <row r="21" spans="1:7" ht="24" customHeight="1">
      <c r="A21" s="20">
        <v>18</v>
      </c>
      <c r="B21" s="21" t="s">
        <v>23</v>
      </c>
      <c r="C21" s="20" t="s">
        <v>27</v>
      </c>
      <c r="D21" s="17" t="s">
        <v>219</v>
      </c>
      <c r="E21" s="36" t="s">
        <v>228</v>
      </c>
      <c r="F21" s="36">
        <f>SUM(F15:F20)</f>
        <v>107</v>
      </c>
      <c r="G21" s="36"/>
    </row>
    <row r="22" spans="1:7" ht="24" customHeight="1">
      <c r="A22" s="20">
        <v>19</v>
      </c>
      <c r="B22" s="21" t="s">
        <v>23</v>
      </c>
      <c r="C22" s="20" t="s">
        <v>27</v>
      </c>
      <c r="D22" s="20" t="s">
        <v>229</v>
      </c>
      <c r="E22" s="22" t="s">
        <v>230</v>
      </c>
      <c r="F22" s="22">
        <v>14</v>
      </c>
      <c r="G22" s="22"/>
    </row>
    <row r="23" spans="1:7" ht="24" customHeight="1">
      <c r="A23" s="20">
        <v>20</v>
      </c>
      <c r="B23" s="21" t="s">
        <v>23</v>
      </c>
      <c r="C23" s="20" t="s">
        <v>27</v>
      </c>
      <c r="D23" s="20" t="s">
        <v>229</v>
      </c>
      <c r="E23" s="22" t="s">
        <v>231</v>
      </c>
      <c r="F23" s="22">
        <v>32</v>
      </c>
      <c r="G23" s="22"/>
    </row>
    <row r="24" spans="1:7" ht="24" customHeight="1">
      <c r="A24" s="20">
        <v>21</v>
      </c>
      <c r="B24" s="21" t="s">
        <v>23</v>
      </c>
      <c r="C24" s="20" t="s">
        <v>27</v>
      </c>
      <c r="D24" s="20" t="s">
        <v>229</v>
      </c>
      <c r="E24" s="22" t="s">
        <v>232</v>
      </c>
      <c r="F24" s="22">
        <v>18</v>
      </c>
      <c r="G24" s="22"/>
    </row>
    <row r="25" spans="1:7" ht="24" customHeight="1">
      <c r="A25" s="20">
        <v>22</v>
      </c>
      <c r="B25" s="21" t="s">
        <v>23</v>
      </c>
      <c r="C25" s="20" t="s">
        <v>27</v>
      </c>
      <c r="D25" s="20" t="s">
        <v>229</v>
      </c>
      <c r="E25" s="22" t="s">
        <v>315</v>
      </c>
      <c r="F25" s="22">
        <v>25</v>
      </c>
      <c r="G25" s="22"/>
    </row>
    <row r="26" spans="1:7" ht="24" customHeight="1">
      <c r="A26" s="20">
        <v>23</v>
      </c>
      <c r="B26" s="21" t="s">
        <v>23</v>
      </c>
      <c r="C26" s="20" t="s">
        <v>27</v>
      </c>
      <c r="D26" s="20" t="s">
        <v>229</v>
      </c>
      <c r="E26" s="22" t="s">
        <v>237</v>
      </c>
      <c r="F26" s="22">
        <v>8</v>
      </c>
      <c r="G26" s="22"/>
    </row>
    <row r="27" spans="1:7" ht="24" customHeight="1">
      <c r="A27" s="20">
        <v>24</v>
      </c>
      <c r="B27" s="21" t="s">
        <v>23</v>
      </c>
      <c r="C27" s="20" t="s">
        <v>27</v>
      </c>
      <c r="D27" s="17" t="s">
        <v>219</v>
      </c>
      <c r="E27" s="36" t="s">
        <v>238</v>
      </c>
      <c r="F27" s="36">
        <f>SUM(F22:F26)</f>
        <v>97</v>
      </c>
      <c r="G27" s="36"/>
    </row>
    <row r="28" spans="1:7" ht="24" customHeight="1">
      <c r="A28" s="20">
        <v>25</v>
      </c>
      <c r="B28" s="21" t="s">
        <v>23</v>
      </c>
      <c r="C28" s="20" t="s">
        <v>27</v>
      </c>
      <c r="D28" s="20" t="s">
        <v>239</v>
      </c>
      <c r="E28" s="22" t="s">
        <v>240</v>
      </c>
      <c r="F28" s="22">
        <v>70</v>
      </c>
      <c r="G28" s="22"/>
    </row>
    <row r="29" spans="1:7" ht="24" customHeight="1">
      <c r="A29" s="20">
        <v>26</v>
      </c>
      <c r="B29" s="21" t="s">
        <v>23</v>
      </c>
      <c r="C29" s="20" t="s">
        <v>27</v>
      </c>
      <c r="D29" s="20" t="s">
        <v>239</v>
      </c>
      <c r="E29" s="22" t="s">
        <v>241</v>
      </c>
      <c r="F29" s="22">
        <v>60</v>
      </c>
      <c r="G29" s="22"/>
    </row>
    <row r="30" spans="1:7" ht="24" customHeight="1">
      <c r="A30" s="20">
        <v>27</v>
      </c>
      <c r="B30" s="21" t="s">
        <v>23</v>
      </c>
      <c r="C30" s="20" t="s">
        <v>27</v>
      </c>
      <c r="D30" s="17" t="s">
        <v>219</v>
      </c>
      <c r="E30" s="36" t="s">
        <v>242</v>
      </c>
      <c r="F30" s="36">
        <f>SUM(F28:F29)</f>
        <v>130</v>
      </c>
      <c r="G30" s="36"/>
    </row>
    <row r="31" spans="1:7" ht="24" customHeight="1">
      <c r="A31" s="20">
        <v>28</v>
      </c>
      <c r="B31" s="21" t="s">
        <v>23</v>
      </c>
      <c r="C31" s="20" t="s">
        <v>27</v>
      </c>
      <c r="D31" s="20" t="s">
        <v>259</v>
      </c>
      <c r="E31" s="22" t="s">
        <v>317</v>
      </c>
      <c r="F31" s="22">
        <v>10</v>
      </c>
      <c r="G31" s="22"/>
    </row>
    <row r="32" spans="1:7" ht="24" customHeight="1">
      <c r="A32" s="20">
        <v>29</v>
      </c>
      <c r="B32" s="21" t="s">
        <v>23</v>
      </c>
      <c r="C32" s="20" t="s">
        <v>27</v>
      </c>
      <c r="D32" s="20" t="s">
        <v>259</v>
      </c>
      <c r="E32" s="22" t="s">
        <v>318</v>
      </c>
      <c r="F32" s="22">
        <v>5</v>
      </c>
      <c r="G32" s="22"/>
    </row>
    <row r="33" spans="1:7" ht="24" customHeight="1">
      <c r="A33" s="20">
        <v>30</v>
      </c>
      <c r="B33" s="21" t="s">
        <v>23</v>
      </c>
      <c r="C33" s="20" t="s">
        <v>27</v>
      </c>
      <c r="D33" s="17" t="s">
        <v>219</v>
      </c>
      <c r="E33" s="36" t="s">
        <v>261</v>
      </c>
      <c r="F33" s="36">
        <f>SUM(F31:F32)</f>
        <v>15</v>
      </c>
      <c r="G33" s="36"/>
    </row>
    <row r="34" spans="1:7" ht="24" customHeight="1">
      <c r="A34" s="20">
        <v>31</v>
      </c>
      <c r="B34" s="21" t="s">
        <v>23</v>
      </c>
      <c r="C34" s="20" t="s">
        <v>27</v>
      </c>
      <c r="D34" s="20" t="s">
        <v>243</v>
      </c>
      <c r="E34" s="22" t="s">
        <v>319</v>
      </c>
      <c r="F34" s="22">
        <v>6</v>
      </c>
      <c r="G34" s="22"/>
    </row>
    <row r="35" spans="1:7" ht="24" customHeight="1">
      <c r="A35" s="20">
        <v>32</v>
      </c>
      <c r="B35" s="21" t="s">
        <v>23</v>
      </c>
      <c r="C35" s="20" t="s">
        <v>27</v>
      </c>
      <c r="D35" s="20" t="s">
        <v>243</v>
      </c>
      <c r="E35" s="22" t="s">
        <v>320</v>
      </c>
      <c r="F35" s="22">
        <v>6</v>
      </c>
      <c r="G35" s="22"/>
    </row>
    <row r="36" spans="1:7" ht="24" customHeight="1">
      <c r="A36" s="20">
        <v>33</v>
      </c>
      <c r="B36" s="21" t="s">
        <v>23</v>
      </c>
      <c r="C36" s="20" t="s">
        <v>27</v>
      </c>
      <c r="D36" s="20" t="s">
        <v>243</v>
      </c>
      <c r="E36" s="22" t="s">
        <v>321</v>
      </c>
      <c r="F36" s="22">
        <v>10.56</v>
      </c>
      <c r="G36" s="22"/>
    </row>
    <row r="37" spans="1:7" ht="24" customHeight="1">
      <c r="A37" s="20">
        <v>34</v>
      </c>
      <c r="B37" s="21" t="s">
        <v>23</v>
      </c>
      <c r="C37" s="20" t="s">
        <v>27</v>
      </c>
      <c r="D37" s="20" t="s">
        <v>243</v>
      </c>
      <c r="E37" s="22" t="s">
        <v>247</v>
      </c>
      <c r="F37" s="22">
        <v>2</v>
      </c>
      <c r="G37" s="22"/>
    </row>
    <row r="38" spans="1:7" ht="24" customHeight="1">
      <c r="A38" s="20">
        <v>35</v>
      </c>
      <c r="B38" s="21" t="s">
        <v>23</v>
      </c>
      <c r="C38" s="20" t="s">
        <v>27</v>
      </c>
      <c r="D38" s="17" t="s">
        <v>219</v>
      </c>
      <c r="E38" s="36" t="s">
        <v>248</v>
      </c>
      <c r="F38" s="36">
        <f>SUM(F34:F37)</f>
        <v>24.56</v>
      </c>
      <c r="G38" s="36"/>
    </row>
    <row r="39" spans="1:7" ht="24" customHeight="1">
      <c r="A39" s="20">
        <v>36</v>
      </c>
      <c r="B39" s="21" t="s">
        <v>23</v>
      </c>
      <c r="C39" s="20" t="s">
        <v>27</v>
      </c>
      <c r="D39" s="20" t="s">
        <v>249</v>
      </c>
      <c r="E39" s="22" t="s">
        <v>304</v>
      </c>
      <c r="F39" s="22">
        <v>7</v>
      </c>
      <c r="G39" s="22"/>
    </row>
    <row r="40" spans="1:7" ht="24" customHeight="1">
      <c r="A40" s="20">
        <v>37</v>
      </c>
      <c r="B40" s="21" t="s">
        <v>23</v>
      </c>
      <c r="C40" s="20" t="s">
        <v>27</v>
      </c>
      <c r="D40" s="20" t="s">
        <v>249</v>
      </c>
      <c r="E40" s="22" t="s">
        <v>251</v>
      </c>
      <c r="F40" s="22">
        <v>7</v>
      </c>
      <c r="G40" s="22"/>
    </row>
    <row r="41" spans="1:7" ht="24" customHeight="1">
      <c r="A41" s="20">
        <v>38</v>
      </c>
      <c r="B41" s="21" t="s">
        <v>23</v>
      </c>
      <c r="C41" s="20" t="s">
        <v>27</v>
      </c>
      <c r="D41" s="20" t="s">
        <v>249</v>
      </c>
      <c r="E41" s="22" t="s">
        <v>252</v>
      </c>
      <c r="F41" s="22">
        <v>31.5</v>
      </c>
      <c r="G41" s="22"/>
    </row>
    <row r="42" spans="1:7" ht="24" customHeight="1">
      <c r="A42" s="20">
        <v>39</v>
      </c>
      <c r="B42" s="21" t="s">
        <v>23</v>
      </c>
      <c r="C42" s="20" t="s">
        <v>27</v>
      </c>
      <c r="D42" s="20" t="s">
        <v>249</v>
      </c>
      <c r="E42" s="22" t="s">
        <v>253</v>
      </c>
      <c r="F42" s="22">
        <v>7</v>
      </c>
      <c r="G42" s="22"/>
    </row>
    <row r="43" spans="1:7" ht="24" customHeight="1">
      <c r="A43" s="20">
        <v>40</v>
      </c>
      <c r="B43" s="21" t="s">
        <v>23</v>
      </c>
      <c r="C43" s="20" t="s">
        <v>27</v>
      </c>
      <c r="D43" s="20" t="s">
        <v>249</v>
      </c>
      <c r="E43" s="22" t="s">
        <v>322</v>
      </c>
      <c r="F43" s="22">
        <v>3</v>
      </c>
      <c r="G43" s="22"/>
    </row>
    <row r="44" spans="1:7" ht="24" customHeight="1">
      <c r="A44" s="20">
        <v>41</v>
      </c>
      <c r="B44" s="21" t="s">
        <v>23</v>
      </c>
      <c r="C44" s="20" t="s">
        <v>27</v>
      </c>
      <c r="D44" s="20" t="s">
        <v>249</v>
      </c>
      <c r="E44" s="22" t="s">
        <v>944</v>
      </c>
      <c r="F44" s="22">
        <v>20</v>
      </c>
      <c r="G44" s="20" t="s">
        <v>200</v>
      </c>
    </row>
    <row r="45" spans="1:7" ht="24" customHeight="1">
      <c r="A45" s="20">
        <v>42</v>
      </c>
      <c r="B45" s="21" t="s">
        <v>23</v>
      </c>
      <c r="C45" s="20" t="s">
        <v>27</v>
      </c>
      <c r="D45" s="17" t="s">
        <v>219</v>
      </c>
      <c r="E45" s="36" t="s">
        <v>255</v>
      </c>
      <c r="F45" s="36">
        <f>SUM(F39:F44)</f>
        <v>75.5</v>
      </c>
      <c r="G45" s="36"/>
    </row>
    <row r="46" spans="1:7" ht="24" customHeight="1">
      <c r="A46" s="20">
        <v>43</v>
      </c>
      <c r="B46" s="21" t="s">
        <v>23</v>
      </c>
      <c r="C46" s="20" t="s">
        <v>27</v>
      </c>
      <c r="D46" s="20" t="s">
        <v>262</v>
      </c>
      <c r="E46" s="43" t="s">
        <v>263</v>
      </c>
      <c r="F46" s="22">
        <v>75</v>
      </c>
      <c r="G46" s="22"/>
    </row>
    <row r="47" spans="1:7" ht="24" customHeight="1">
      <c r="A47" s="20">
        <v>44</v>
      </c>
      <c r="B47" s="21" t="s">
        <v>23</v>
      </c>
      <c r="C47" s="20" t="s">
        <v>27</v>
      </c>
      <c r="D47" s="20" t="s">
        <v>262</v>
      </c>
      <c r="E47" s="43" t="s">
        <v>316</v>
      </c>
      <c r="F47" s="22">
        <v>40</v>
      </c>
      <c r="G47" s="22"/>
    </row>
    <row r="48" spans="1:7" ht="24" customHeight="1">
      <c r="A48" s="20">
        <v>45</v>
      </c>
      <c r="B48" s="21" t="s">
        <v>23</v>
      </c>
      <c r="C48" s="20" t="s">
        <v>27</v>
      </c>
      <c r="D48" s="20" t="s">
        <v>262</v>
      </c>
      <c r="E48" s="43" t="s">
        <v>265</v>
      </c>
      <c r="F48" s="22">
        <v>20</v>
      </c>
      <c r="G48" s="22"/>
    </row>
    <row r="49" spans="1:7" ht="24" customHeight="1">
      <c r="A49" s="20">
        <v>46</v>
      </c>
      <c r="B49" s="21" t="s">
        <v>23</v>
      </c>
      <c r="C49" s="20" t="s">
        <v>27</v>
      </c>
      <c r="D49" s="17" t="s">
        <v>219</v>
      </c>
      <c r="E49" s="36" t="s">
        <v>266</v>
      </c>
      <c r="F49" s="36">
        <f>SUM(F46:F48)</f>
        <v>135</v>
      </c>
      <c r="G49" s="36"/>
    </row>
    <row r="50" spans="1:7" ht="24" customHeight="1">
      <c r="A50" s="20">
        <v>47</v>
      </c>
      <c r="B50" s="21" t="s">
        <v>23</v>
      </c>
      <c r="C50" s="20" t="s">
        <v>27</v>
      </c>
      <c r="D50" s="17" t="s">
        <v>267</v>
      </c>
      <c r="E50" s="35" t="s">
        <v>323</v>
      </c>
      <c r="F50" s="35">
        <v>834</v>
      </c>
      <c r="G50" s="64"/>
    </row>
    <row r="51" spans="1:7" ht="24" customHeight="1">
      <c r="A51" s="240" t="s">
        <v>965</v>
      </c>
      <c r="B51" s="240"/>
      <c r="C51" s="240"/>
      <c r="D51" s="240"/>
      <c r="E51" s="240"/>
      <c r="F51" s="240"/>
      <c r="G51" s="240"/>
    </row>
  </sheetData>
  <autoFilter ref="A3:G51" xr:uid="{00000000-0009-0000-0000-000040000000}"/>
  <mergeCells count="3">
    <mergeCell ref="A1:G1"/>
    <mergeCell ref="A2:G2"/>
    <mergeCell ref="A51:G51"/>
  </mergeCells>
  <phoneticPr fontId="23" type="noConversion"/>
  <pageMargins left="0.28999999999999998" right="0.15748031496063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56"/>
  <sheetViews>
    <sheetView view="pageBreakPreview" zoomScale="115" zoomScaleNormal="100" workbookViewId="0">
      <pane ySplit="3" topLeftCell="A55" activePane="bottomLeft" state="frozen"/>
      <selection pane="bottomLeft" activeCell="D50" sqref="D50"/>
    </sheetView>
  </sheetViews>
  <sheetFormatPr defaultColWidth="9" defaultRowHeight="15.75"/>
  <cols>
    <col min="1" max="1" width="4.06640625" style="13" customWidth="1"/>
    <col min="2" max="2" width="10.9296875" style="14" customWidth="1"/>
    <col min="3" max="3" width="13.19921875" style="13" customWidth="1"/>
    <col min="4" max="4" width="10.53125" style="13" customWidth="1"/>
    <col min="5" max="5" width="44.33203125" style="13" customWidth="1"/>
    <col min="6" max="6" width="8.46484375" style="13" customWidth="1"/>
    <col min="7" max="7" width="9.265625" style="13" customWidth="1"/>
    <col min="8" max="16384" width="9" style="16"/>
  </cols>
  <sheetData>
    <row r="1" spans="1:7" ht="20.25">
      <c r="A1" s="229" t="s">
        <v>968</v>
      </c>
      <c r="B1" s="229"/>
      <c r="C1" s="229"/>
      <c r="D1" s="229"/>
      <c r="E1" s="229"/>
      <c r="F1" s="229"/>
      <c r="G1" s="229"/>
    </row>
    <row r="2" spans="1:7" ht="24" customHeight="1">
      <c r="A2" s="230" t="s">
        <v>969</v>
      </c>
      <c r="B2" s="230"/>
      <c r="C2" s="230"/>
      <c r="D2" s="230"/>
      <c r="E2" s="230"/>
      <c r="F2" s="230"/>
      <c r="G2" s="230"/>
    </row>
    <row r="3" spans="1:7" s="12" customFormat="1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14</v>
      </c>
      <c r="C4" s="20" t="s">
        <v>15</v>
      </c>
      <c r="D4" s="20" t="s">
        <v>209</v>
      </c>
      <c r="E4" s="22" t="s">
        <v>210</v>
      </c>
      <c r="F4" s="22">
        <v>20</v>
      </c>
      <c r="G4" s="22"/>
    </row>
    <row r="5" spans="1:7" ht="24" customHeight="1">
      <c r="A5" s="20">
        <v>2</v>
      </c>
      <c r="B5" s="21" t="s">
        <v>14</v>
      </c>
      <c r="C5" s="20" t="s">
        <v>15</v>
      </c>
      <c r="D5" s="20" t="s">
        <v>209</v>
      </c>
      <c r="E5" s="22" t="s">
        <v>211</v>
      </c>
      <c r="F5" s="22">
        <v>16</v>
      </c>
      <c r="G5" s="22"/>
    </row>
    <row r="6" spans="1:7" ht="24" customHeight="1">
      <c r="A6" s="20">
        <v>3</v>
      </c>
      <c r="B6" s="21" t="s">
        <v>14</v>
      </c>
      <c r="C6" s="20" t="s">
        <v>15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14</v>
      </c>
      <c r="C7" s="20" t="s">
        <v>15</v>
      </c>
      <c r="D7" s="20" t="s">
        <v>209</v>
      </c>
      <c r="E7" s="22" t="s">
        <v>213</v>
      </c>
      <c r="F7" s="22">
        <v>34</v>
      </c>
      <c r="G7" s="22"/>
    </row>
    <row r="8" spans="1:7" ht="24" customHeight="1">
      <c r="A8" s="20">
        <v>5</v>
      </c>
      <c r="B8" s="21" t="s">
        <v>14</v>
      </c>
      <c r="C8" s="20" t="s">
        <v>15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14</v>
      </c>
      <c r="C9" s="20" t="s">
        <v>15</v>
      </c>
      <c r="D9" s="20" t="s">
        <v>209</v>
      </c>
      <c r="E9" s="22" t="s">
        <v>215</v>
      </c>
      <c r="F9" s="22">
        <v>10</v>
      </c>
      <c r="G9" s="22"/>
    </row>
    <row r="10" spans="1:7" ht="24" customHeight="1">
      <c r="A10" s="20">
        <v>7</v>
      </c>
      <c r="B10" s="21" t="s">
        <v>14</v>
      </c>
      <c r="C10" s="20" t="s">
        <v>15</v>
      </c>
      <c r="D10" s="20" t="s">
        <v>209</v>
      </c>
      <c r="E10" s="22" t="s">
        <v>216</v>
      </c>
      <c r="F10" s="22">
        <v>35</v>
      </c>
      <c r="G10" s="22"/>
    </row>
    <row r="11" spans="1:7" ht="24" customHeight="1">
      <c r="A11" s="20">
        <v>8</v>
      </c>
      <c r="B11" s="21" t="s">
        <v>14</v>
      </c>
      <c r="C11" s="20" t="s">
        <v>15</v>
      </c>
      <c r="D11" s="20" t="s">
        <v>209</v>
      </c>
      <c r="E11" s="22" t="s">
        <v>217</v>
      </c>
      <c r="F11" s="22">
        <v>55</v>
      </c>
      <c r="G11" s="22"/>
    </row>
    <row r="12" spans="1:7" ht="24" customHeight="1">
      <c r="A12" s="20">
        <v>9</v>
      </c>
      <c r="B12" s="21" t="s">
        <v>14</v>
      </c>
      <c r="C12" s="20" t="s">
        <v>15</v>
      </c>
      <c r="D12" s="20" t="s">
        <v>209</v>
      </c>
      <c r="E12" s="22" t="s">
        <v>218</v>
      </c>
      <c r="F12" s="22">
        <v>10</v>
      </c>
      <c r="G12" s="22"/>
    </row>
    <row r="13" spans="1:7" ht="24" customHeight="1">
      <c r="A13" s="20">
        <v>10</v>
      </c>
      <c r="B13" s="21" t="s">
        <v>14</v>
      </c>
      <c r="C13" s="20" t="s">
        <v>15</v>
      </c>
      <c r="D13" s="17" t="s">
        <v>219</v>
      </c>
      <c r="E13" s="36" t="s">
        <v>220</v>
      </c>
      <c r="F13" s="36">
        <f>SUM(F4:F12)</f>
        <v>240</v>
      </c>
      <c r="G13" s="52"/>
    </row>
    <row r="14" spans="1:7" ht="24" customHeight="1">
      <c r="A14" s="20">
        <v>11</v>
      </c>
      <c r="B14" s="21" t="s">
        <v>14</v>
      </c>
      <c r="C14" s="20" t="s">
        <v>15</v>
      </c>
      <c r="D14" s="20" t="s">
        <v>221</v>
      </c>
      <c r="E14" s="22" t="s">
        <v>222</v>
      </c>
      <c r="F14" s="22">
        <v>14</v>
      </c>
      <c r="G14" s="22"/>
    </row>
    <row r="15" spans="1:7" ht="24" customHeight="1">
      <c r="A15" s="20">
        <v>12</v>
      </c>
      <c r="B15" s="21" t="s">
        <v>14</v>
      </c>
      <c r="C15" s="20" t="s">
        <v>15</v>
      </c>
      <c r="D15" s="20" t="s">
        <v>221</v>
      </c>
      <c r="E15" s="22" t="s">
        <v>223</v>
      </c>
      <c r="F15" s="22">
        <v>22</v>
      </c>
      <c r="G15" s="22"/>
    </row>
    <row r="16" spans="1:7" ht="24" customHeight="1">
      <c r="A16" s="20">
        <v>13</v>
      </c>
      <c r="B16" s="21" t="s">
        <v>14</v>
      </c>
      <c r="C16" s="20" t="s">
        <v>15</v>
      </c>
      <c r="D16" s="20" t="s">
        <v>221</v>
      </c>
      <c r="E16" s="22" t="s">
        <v>224</v>
      </c>
      <c r="F16" s="22">
        <v>9</v>
      </c>
      <c r="G16" s="22"/>
    </row>
    <row r="17" spans="1:7" ht="24" customHeight="1">
      <c r="A17" s="20">
        <v>14</v>
      </c>
      <c r="B17" s="21" t="s">
        <v>14</v>
      </c>
      <c r="C17" s="20" t="s">
        <v>15</v>
      </c>
      <c r="D17" s="20" t="s">
        <v>221</v>
      </c>
      <c r="E17" s="22" t="s">
        <v>225</v>
      </c>
      <c r="F17" s="22">
        <v>20</v>
      </c>
      <c r="G17" s="22"/>
    </row>
    <row r="18" spans="1:7" ht="24" customHeight="1">
      <c r="A18" s="20">
        <v>15</v>
      </c>
      <c r="B18" s="21" t="s">
        <v>14</v>
      </c>
      <c r="C18" s="20" t="s">
        <v>15</v>
      </c>
      <c r="D18" s="20" t="s">
        <v>221</v>
      </c>
      <c r="E18" s="22" t="s">
        <v>226</v>
      </c>
      <c r="F18" s="22">
        <v>22</v>
      </c>
      <c r="G18" s="22"/>
    </row>
    <row r="19" spans="1:7" ht="24" customHeight="1">
      <c r="A19" s="20">
        <v>16</v>
      </c>
      <c r="B19" s="21" t="s">
        <v>14</v>
      </c>
      <c r="C19" s="20" t="s">
        <v>15</v>
      </c>
      <c r="D19" s="20" t="s">
        <v>221</v>
      </c>
      <c r="E19" s="22" t="s">
        <v>227</v>
      </c>
      <c r="F19" s="22">
        <v>20</v>
      </c>
      <c r="G19" s="22"/>
    </row>
    <row r="20" spans="1:7" ht="24" customHeight="1">
      <c r="A20" s="20">
        <v>17</v>
      </c>
      <c r="B20" s="21" t="s">
        <v>14</v>
      </c>
      <c r="C20" s="20" t="s">
        <v>15</v>
      </c>
      <c r="D20" s="17" t="s">
        <v>219</v>
      </c>
      <c r="E20" s="36" t="s">
        <v>228</v>
      </c>
      <c r="F20" s="36">
        <f>SUM(F14:F19)</f>
        <v>107</v>
      </c>
      <c r="G20" s="52"/>
    </row>
    <row r="21" spans="1:7" ht="24" customHeight="1">
      <c r="A21" s="20">
        <v>18</v>
      </c>
      <c r="B21" s="21" t="s">
        <v>14</v>
      </c>
      <c r="C21" s="20" t="s">
        <v>15</v>
      </c>
      <c r="D21" s="20" t="s">
        <v>229</v>
      </c>
      <c r="E21" s="22" t="s">
        <v>230</v>
      </c>
      <c r="F21" s="22">
        <v>14</v>
      </c>
      <c r="G21" s="22"/>
    </row>
    <row r="22" spans="1:7" ht="24" customHeight="1">
      <c r="A22" s="20">
        <v>19</v>
      </c>
      <c r="B22" s="21" t="s">
        <v>14</v>
      </c>
      <c r="C22" s="20" t="s">
        <v>15</v>
      </c>
      <c r="D22" s="20" t="s">
        <v>229</v>
      </c>
      <c r="E22" s="22" t="s">
        <v>231</v>
      </c>
      <c r="F22" s="22">
        <v>32</v>
      </c>
      <c r="G22" s="22"/>
    </row>
    <row r="23" spans="1:7" ht="24" customHeight="1">
      <c r="A23" s="20">
        <v>20</v>
      </c>
      <c r="B23" s="21" t="s">
        <v>14</v>
      </c>
      <c r="C23" s="20" t="s">
        <v>15</v>
      </c>
      <c r="D23" s="20" t="s">
        <v>229</v>
      </c>
      <c r="E23" s="22" t="s">
        <v>232</v>
      </c>
      <c r="F23" s="22">
        <v>18</v>
      </c>
      <c r="G23" s="22"/>
    </row>
    <row r="24" spans="1:7" ht="24" customHeight="1">
      <c r="A24" s="20">
        <v>21</v>
      </c>
      <c r="B24" s="21" t="s">
        <v>14</v>
      </c>
      <c r="C24" s="20" t="s">
        <v>15</v>
      </c>
      <c r="D24" s="20" t="s">
        <v>229</v>
      </c>
      <c r="E24" s="22" t="s">
        <v>233</v>
      </c>
      <c r="F24" s="22">
        <v>25</v>
      </c>
      <c r="G24" s="22"/>
    </row>
    <row r="25" spans="1:7" ht="24" customHeight="1">
      <c r="A25" s="20">
        <v>22</v>
      </c>
      <c r="B25" s="21" t="s">
        <v>14</v>
      </c>
      <c r="C25" s="20" t="s">
        <v>15</v>
      </c>
      <c r="D25" s="20" t="s">
        <v>229</v>
      </c>
      <c r="E25" s="22" t="s">
        <v>234</v>
      </c>
      <c r="F25" s="22">
        <v>19</v>
      </c>
      <c r="G25" s="22"/>
    </row>
    <row r="26" spans="1:7" ht="24" customHeight="1">
      <c r="A26" s="20">
        <v>23</v>
      </c>
      <c r="B26" s="21" t="s">
        <v>14</v>
      </c>
      <c r="C26" s="20" t="s">
        <v>15</v>
      </c>
      <c r="D26" s="20" t="s">
        <v>229</v>
      </c>
      <c r="E26" s="22" t="s">
        <v>235</v>
      </c>
      <c r="F26" s="22">
        <v>10</v>
      </c>
      <c r="G26" s="22"/>
    </row>
    <row r="27" spans="1:7" ht="24" customHeight="1">
      <c r="A27" s="20">
        <v>24</v>
      </c>
      <c r="B27" s="21" t="s">
        <v>14</v>
      </c>
      <c r="C27" s="20" t="s">
        <v>15</v>
      </c>
      <c r="D27" s="20" t="s">
        <v>229</v>
      </c>
      <c r="E27" s="22" t="s">
        <v>236</v>
      </c>
      <c r="F27" s="22">
        <v>9</v>
      </c>
      <c r="G27" s="22"/>
    </row>
    <row r="28" spans="1:7" ht="24" customHeight="1">
      <c r="A28" s="20">
        <v>25</v>
      </c>
      <c r="B28" s="21" t="s">
        <v>14</v>
      </c>
      <c r="C28" s="20" t="s">
        <v>15</v>
      </c>
      <c r="D28" s="20" t="s">
        <v>229</v>
      </c>
      <c r="E28" s="22" t="s">
        <v>237</v>
      </c>
      <c r="F28" s="22">
        <v>8</v>
      </c>
      <c r="G28" s="22"/>
    </row>
    <row r="29" spans="1:7" ht="24" customHeight="1">
      <c r="A29" s="20">
        <v>26</v>
      </c>
      <c r="B29" s="21" t="s">
        <v>14</v>
      </c>
      <c r="C29" s="20" t="s">
        <v>15</v>
      </c>
      <c r="D29" s="17" t="s">
        <v>219</v>
      </c>
      <c r="E29" s="36" t="s">
        <v>238</v>
      </c>
      <c r="F29" s="36">
        <f>SUM(F21:F28)</f>
        <v>135</v>
      </c>
      <c r="G29" s="52"/>
    </row>
    <row r="30" spans="1:7" ht="24" customHeight="1">
      <c r="A30" s="20">
        <v>27</v>
      </c>
      <c r="B30" s="21" t="s">
        <v>14</v>
      </c>
      <c r="C30" s="20" t="s">
        <v>15</v>
      </c>
      <c r="D30" s="20" t="s">
        <v>239</v>
      </c>
      <c r="E30" s="22" t="s">
        <v>240</v>
      </c>
      <c r="F30" s="22">
        <v>70</v>
      </c>
      <c r="G30" s="22"/>
    </row>
    <row r="31" spans="1:7" ht="24" customHeight="1">
      <c r="A31" s="20">
        <v>28</v>
      </c>
      <c r="B31" s="21" t="s">
        <v>14</v>
      </c>
      <c r="C31" s="20" t="s">
        <v>15</v>
      </c>
      <c r="D31" s="20" t="s">
        <v>239</v>
      </c>
      <c r="E31" s="22" t="s">
        <v>241</v>
      </c>
      <c r="F31" s="22">
        <v>60</v>
      </c>
      <c r="G31" s="22"/>
    </row>
    <row r="32" spans="1:7" ht="24" customHeight="1">
      <c r="A32" s="20">
        <v>29</v>
      </c>
      <c r="B32" s="21" t="s">
        <v>14</v>
      </c>
      <c r="C32" s="20" t="s">
        <v>15</v>
      </c>
      <c r="D32" s="17" t="s">
        <v>219</v>
      </c>
      <c r="E32" s="36" t="s">
        <v>242</v>
      </c>
      <c r="F32" s="36">
        <f>SUM(F30:F31)</f>
        <v>130</v>
      </c>
      <c r="G32" s="52"/>
    </row>
    <row r="33" spans="1:7" ht="24" customHeight="1">
      <c r="A33" s="20">
        <v>30</v>
      </c>
      <c r="B33" s="21" t="s">
        <v>14</v>
      </c>
      <c r="C33" s="20" t="s">
        <v>15</v>
      </c>
      <c r="D33" s="20" t="s">
        <v>243</v>
      </c>
      <c r="E33" s="22" t="s">
        <v>244</v>
      </c>
      <c r="F33" s="22">
        <v>6.6</v>
      </c>
      <c r="G33" s="22"/>
    </row>
    <row r="34" spans="1:7" ht="24" customHeight="1">
      <c r="A34" s="20">
        <v>31</v>
      </c>
      <c r="B34" s="21" t="s">
        <v>14</v>
      </c>
      <c r="C34" s="20" t="s">
        <v>15</v>
      </c>
      <c r="D34" s="20" t="s">
        <v>243</v>
      </c>
      <c r="E34" s="22" t="s">
        <v>245</v>
      </c>
      <c r="F34" s="22">
        <v>6.6</v>
      </c>
      <c r="G34" s="22"/>
    </row>
    <row r="35" spans="1:7" ht="24" customHeight="1">
      <c r="A35" s="20">
        <v>32</v>
      </c>
      <c r="B35" s="21" t="s">
        <v>14</v>
      </c>
      <c r="C35" s="20" t="s">
        <v>15</v>
      </c>
      <c r="D35" s="20" t="s">
        <v>243</v>
      </c>
      <c r="E35" s="22" t="s">
        <v>246</v>
      </c>
      <c r="F35" s="22">
        <v>13.2</v>
      </c>
      <c r="G35" s="22"/>
    </row>
    <row r="36" spans="1:7" ht="35" customHeight="1">
      <c r="A36" s="20">
        <v>33</v>
      </c>
      <c r="B36" s="21" t="s">
        <v>14</v>
      </c>
      <c r="C36" s="20" t="s">
        <v>15</v>
      </c>
      <c r="D36" s="63" t="s">
        <v>243</v>
      </c>
      <c r="E36" s="43" t="s">
        <v>970</v>
      </c>
      <c r="F36" s="43">
        <v>13.2</v>
      </c>
      <c r="G36" s="28" t="s">
        <v>953</v>
      </c>
    </row>
    <row r="37" spans="1:7" ht="24" customHeight="1">
      <c r="A37" s="20">
        <v>34</v>
      </c>
      <c r="B37" s="21" t="s">
        <v>14</v>
      </c>
      <c r="C37" s="20" t="s">
        <v>15</v>
      </c>
      <c r="D37" s="20" t="s">
        <v>243</v>
      </c>
      <c r="E37" s="22" t="s">
        <v>247</v>
      </c>
      <c r="F37" s="22">
        <v>2</v>
      </c>
      <c r="G37" s="22"/>
    </row>
    <row r="38" spans="1:7" ht="24" customHeight="1">
      <c r="A38" s="20">
        <v>35</v>
      </c>
      <c r="B38" s="21" t="s">
        <v>14</v>
      </c>
      <c r="C38" s="20" t="s">
        <v>15</v>
      </c>
      <c r="D38" s="17" t="s">
        <v>219</v>
      </c>
      <c r="E38" s="36" t="s">
        <v>248</v>
      </c>
      <c r="F38" s="36">
        <f>SUM(F33:F37)</f>
        <v>41.6</v>
      </c>
      <c r="G38" s="52"/>
    </row>
    <row r="39" spans="1:7" ht="24" customHeight="1">
      <c r="A39" s="20">
        <v>36</v>
      </c>
      <c r="B39" s="21" t="s">
        <v>14</v>
      </c>
      <c r="C39" s="20" t="s">
        <v>15</v>
      </c>
      <c r="D39" s="20" t="s">
        <v>249</v>
      </c>
      <c r="E39" s="22" t="s">
        <v>250</v>
      </c>
      <c r="F39" s="22">
        <v>5</v>
      </c>
      <c r="G39" s="22"/>
    </row>
    <row r="40" spans="1:7" ht="24" customHeight="1">
      <c r="A40" s="20">
        <v>37</v>
      </c>
      <c r="B40" s="21" t="s">
        <v>14</v>
      </c>
      <c r="C40" s="20" t="s">
        <v>15</v>
      </c>
      <c r="D40" s="20" t="s">
        <v>249</v>
      </c>
      <c r="E40" s="22" t="s">
        <v>251</v>
      </c>
      <c r="F40" s="22">
        <v>7</v>
      </c>
      <c r="G40" s="22"/>
    </row>
    <row r="41" spans="1:7" ht="24" customHeight="1">
      <c r="A41" s="20">
        <v>38</v>
      </c>
      <c r="B41" s="21" t="s">
        <v>14</v>
      </c>
      <c r="C41" s="20" t="s">
        <v>15</v>
      </c>
      <c r="D41" s="20" t="s">
        <v>249</v>
      </c>
      <c r="E41" s="22" t="s">
        <v>252</v>
      </c>
      <c r="F41" s="22">
        <v>31.5</v>
      </c>
      <c r="G41" s="22"/>
    </row>
    <row r="42" spans="1:7" ht="24" customHeight="1">
      <c r="A42" s="20">
        <v>39</v>
      </c>
      <c r="B42" s="21" t="s">
        <v>14</v>
      </c>
      <c r="C42" s="20" t="s">
        <v>15</v>
      </c>
      <c r="D42" s="20" t="s">
        <v>249</v>
      </c>
      <c r="E42" s="22" t="s">
        <v>253</v>
      </c>
      <c r="F42" s="22">
        <v>7</v>
      </c>
      <c r="G42" s="22"/>
    </row>
    <row r="43" spans="1:7" ht="24" customHeight="1">
      <c r="A43" s="20">
        <v>40</v>
      </c>
      <c r="B43" s="21" t="s">
        <v>14</v>
      </c>
      <c r="C43" s="20" t="s">
        <v>15</v>
      </c>
      <c r="D43" s="20" t="s">
        <v>249</v>
      </c>
      <c r="E43" s="22" t="s">
        <v>254</v>
      </c>
      <c r="F43" s="22">
        <v>3</v>
      </c>
      <c r="G43" s="22"/>
    </row>
    <row r="44" spans="1:7" s="62" customFormat="1" ht="24" customHeight="1">
      <c r="A44" s="20">
        <v>41</v>
      </c>
      <c r="B44" s="21" t="s">
        <v>14</v>
      </c>
      <c r="C44" s="20" t="s">
        <v>15</v>
      </c>
      <c r="D44" s="20" t="s">
        <v>249</v>
      </c>
      <c r="E44" s="22" t="s">
        <v>306</v>
      </c>
      <c r="F44" s="22">
        <v>10</v>
      </c>
      <c r="G44" s="22"/>
    </row>
    <row r="45" spans="1:7" s="62" customFormat="1" ht="24" customHeight="1">
      <c r="A45" s="20">
        <v>42</v>
      </c>
      <c r="B45" s="21" t="s">
        <v>14</v>
      </c>
      <c r="C45" s="20" t="s">
        <v>15</v>
      </c>
      <c r="D45" s="20" t="s">
        <v>249</v>
      </c>
      <c r="E45" s="22" t="s">
        <v>971</v>
      </c>
      <c r="F45" s="22">
        <v>20</v>
      </c>
      <c r="G45" s="22"/>
    </row>
    <row r="46" spans="1:7" ht="24" customHeight="1">
      <c r="A46" s="20">
        <v>43</v>
      </c>
      <c r="B46" s="21" t="s">
        <v>14</v>
      </c>
      <c r="C46" s="20" t="s">
        <v>15</v>
      </c>
      <c r="D46" s="17" t="s">
        <v>219</v>
      </c>
      <c r="E46" s="36" t="s">
        <v>255</v>
      </c>
      <c r="F46" s="36">
        <f>SUM(F39:F45)</f>
        <v>83.5</v>
      </c>
      <c r="G46" s="52"/>
    </row>
    <row r="47" spans="1:7" ht="24" customHeight="1">
      <c r="A47" s="20">
        <v>44</v>
      </c>
      <c r="B47" s="21" t="s">
        <v>14</v>
      </c>
      <c r="C47" s="20" t="s">
        <v>15</v>
      </c>
      <c r="D47" s="20" t="s">
        <v>256</v>
      </c>
      <c r="E47" s="22" t="s">
        <v>257</v>
      </c>
      <c r="F47" s="22">
        <v>5</v>
      </c>
      <c r="G47" s="22"/>
    </row>
    <row r="48" spans="1:7" ht="24" customHeight="1">
      <c r="A48" s="20">
        <v>45</v>
      </c>
      <c r="B48" s="21" t="s">
        <v>14</v>
      </c>
      <c r="C48" s="20" t="s">
        <v>15</v>
      </c>
      <c r="D48" s="17" t="s">
        <v>219</v>
      </c>
      <c r="E48" s="36" t="s">
        <v>258</v>
      </c>
      <c r="F48" s="36">
        <f>SUM(F47)</f>
        <v>5</v>
      </c>
      <c r="G48" s="52"/>
    </row>
    <row r="49" spans="1:7" ht="24" customHeight="1">
      <c r="A49" s="20">
        <v>46</v>
      </c>
      <c r="B49" s="21" t="s">
        <v>14</v>
      </c>
      <c r="C49" s="20" t="s">
        <v>15</v>
      </c>
      <c r="D49" s="20" t="s">
        <v>259</v>
      </c>
      <c r="E49" s="22" t="s">
        <v>260</v>
      </c>
      <c r="F49" s="22">
        <v>10</v>
      </c>
      <c r="G49" s="22"/>
    </row>
    <row r="50" spans="1:7" ht="24" customHeight="1">
      <c r="A50" s="20">
        <v>47</v>
      </c>
      <c r="B50" s="21" t="s">
        <v>14</v>
      </c>
      <c r="C50" s="20" t="s">
        <v>15</v>
      </c>
      <c r="D50" s="17" t="s">
        <v>219</v>
      </c>
      <c r="E50" s="36" t="s">
        <v>261</v>
      </c>
      <c r="F50" s="36">
        <f>SUM(F49)</f>
        <v>10</v>
      </c>
      <c r="G50" s="52"/>
    </row>
    <row r="51" spans="1:7" ht="24" customHeight="1">
      <c r="A51" s="20">
        <v>48</v>
      </c>
      <c r="B51" s="21" t="s">
        <v>14</v>
      </c>
      <c r="C51" s="20" t="s">
        <v>15</v>
      </c>
      <c r="D51" s="20" t="s">
        <v>262</v>
      </c>
      <c r="E51" s="22" t="s">
        <v>263</v>
      </c>
      <c r="F51" s="22">
        <v>85</v>
      </c>
      <c r="G51" s="22"/>
    </row>
    <row r="52" spans="1:7" ht="24" customHeight="1">
      <c r="A52" s="20">
        <v>49</v>
      </c>
      <c r="B52" s="21" t="s">
        <v>14</v>
      </c>
      <c r="C52" s="20" t="s">
        <v>15</v>
      </c>
      <c r="D52" s="20" t="s">
        <v>262</v>
      </c>
      <c r="E52" s="22" t="s">
        <v>264</v>
      </c>
      <c r="F52" s="22">
        <v>40</v>
      </c>
      <c r="G52" s="22"/>
    </row>
    <row r="53" spans="1:7" ht="24" customHeight="1">
      <c r="A53" s="20">
        <v>50</v>
      </c>
      <c r="B53" s="21" t="s">
        <v>14</v>
      </c>
      <c r="C53" s="20" t="s">
        <v>15</v>
      </c>
      <c r="D53" s="20" t="s">
        <v>262</v>
      </c>
      <c r="E53" s="22" t="s">
        <v>265</v>
      </c>
      <c r="F53" s="22">
        <v>20</v>
      </c>
      <c r="G53" s="22"/>
    </row>
    <row r="54" spans="1:7" ht="24" customHeight="1">
      <c r="A54" s="20">
        <v>51</v>
      </c>
      <c r="B54" s="21" t="s">
        <v>14</v>
      </c>
      <c r="C54" s="20" t="s">
        <v>15</v>
      </c>
      <c r="D54" s="17" t="s">
        <v>219</v>
      </c>
      <c r="E54" s="36" t="s">
        <v>266</v>
      </c>
      <c r="F54" s="36">
        <f>SUM(F51:F53)</f>
        <v>145</v>
      </c>
      <c r="G54" s="52"/>
    </row>
    <row r="55" spans="1:7" ht="24" customHeight="1">
      <c r="A55" s="20">
        <v>52</v>
      </c>
      <c r="B55" s="21" t="s">
        <v>14</v>
      </c>
      <c r="C55" s="20" t="s">
        <v>15</v>
      </c>
      <c r="D55" s="17" t="s">
        <v>267</v>
      </c>
      <c r="E55" s="36" t="s">
        <v>268</v>
      </c>
      <c r="F55" s="36">
        <v>897</v>
      </c>
      <c r="G55" s="52"/>
    </row>
    <row r="56" spans="1:7" ht="24" customHeight="1">
      <c r="A56" s="240" t="s">
        <v>972</v>
      </c>
      <c r="B56" s="240"/>
      <c r="C56" s="240"/>
      <c r="D56" s="240"/>
      <c r="E56" s="240"/>
      <c r="F56" s="240"/>
      <c r="G56" s="240"/>
    </row>
  </sheetData>
  <autoFilter ref="A3:G56" xr:uid="{00000000-0009-0000-0000-000041000000}"/>
  <mergeCells count="3">
    <mergeCell ref="A1:G1"/>
    <mergeCell ref="A2:G2"/>
    <mergeCell ref="A56:G56"/>
  </mergeCells>
  <phoneticPr fontId="23" type="noConversion"/>
  <pageMargins left="0.25" right="0.15" top="0.35433070866141703" bottom="0.43307086614173201" header="0.35433070866141703" footer="0.196850393700787"/>
  <pageSetup paperSize="9" orientation="portrait" horizontalDpi="300" verticalDpi="300" r:id="rId1"/>
  <headerFooter>
    <oddFooter>&amp;C&amp;8第 &amp;P 页，共 &amp;N 页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52"/>
  <sheetViews>
    <sheetView view="pageBreakPreview" zoomScale="115" zoomScaleNormal="130" workbookViewId="0">
      <selection activeCell="M16" sqref="M16"/>
    </sheetView>
  </sheetViews>
  <sheetFormatPr defaultColWidth="9.796875" defaultRowHeight="15.75"/>
  <cols>
    <col min="1" max="1" width="4.46484375" style="13" customWidth="1"/>
    <col min="2" max="2" width="7.46484375" style="14" customWidth="1"/>
    <col min="3" max="3" width="9.73046875" style="13" customWidth="1"/>
    <col min="4" max="4" width="10.265625" style="13" customWidth="1"/>
    <col min="5" max="5" width="46.796875" style="13" customWidth="1"/>
    <col min="6" max="6" width="7.46484375" style="15" customWidth="1"/>
    <col min="7" max="7" width="9.73046875" style="13" customWidth="1"/>
    <col min="8" max="16384" width="9.796875" style="16"/>
  </cols>
  <sheetData>
    <row r="1" spans="1:7" ht="25.5" customHeight="1">
      <c r="A1" s="229" t="s">
        <v>973</v>
      </c>
      <c r="B1" s="229"/>
      <c r="C1" s="229"/>
      <c r="D1" s="229"/>
      <c r="E1" s="229"/>
      <c r="F1" s="243"/>
      <c r="G1" s="243"/>
    </row>
    <row r="2" spans="1:7" ht="21" customHeight="1">
      <c r="A2" s="241" t="s">
        <v>974</v>
      </c>
      <c r="B2" s="241"/>
      <c r="C2" s="241"/>
      <c r="D2" s="241"/>
      <c r="E2" s="241"/>
      <c r="F2" s="241"/>
      <c r="G2" s="241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20" t="s">
        <v>188</v>
      </c>
      <c r="D4" s="20" t="s">
        <v>209</v>
      </c>
      <c r="E4" s="22" t="s">
        <v>210</v>
      </c>
      <c r="F4" s="23">
        <v>19</v>
      </c>
      <c r="G4" s="22"/>
    </row>
    <row r="5" spans="1:7" ht="24" customHeight="1">
      <c r="A5" s="20">
        <v>2</v>
      </c>
      <c r="B5" s="21" t="s">
        <v>23</v>
      </c>
      <c r="C5" s="20" t="s">
        <v>188</v>
      </c>
      <c r="D5" s="20" t="s">
        <v>209</v>
      </c>
      <c r="E5" s="22" t="s">
        <v>211</v>
      </c>
      <c r="F5" s="23">
        <v>15</v>
      </c>
      <c r="G5" s="22"/>
    </row>
    <row r="6" spans="1:7" ht="24" customHeight="1">
      <c r="A6" s="20">
        <v>3</v>
      </c>
      <c r="B6" s="21" t="s">
        <v>23</v>
      </c>
      <c r="C6" s="20" t="s">
        <v>188</v>
      </c>
      <c r="D6" s="20" t="s">
        <v>209</v>
      </c>
      <c r="E6" s="22" t="s">
        <v>212</v>
      </c>
      <c r="F6" s="23">
        <v>34</v>
      </c>
      <c r="G6" s="22"/>
    </row>
    <row r="7" spans="1:7" ht="24" customHeight="1">
      <c r="A7" s="20">
        <v>4</v>
      </c>
      <c r="B7" s="21" t="s">
        <v>23</v>
      </c>
      <c r="C7" s="20" t="s">
        <v>188</v>
      </c>
      <c r="D7" s="20" t="s">
        <v>209</v>
      </c>
      <c r="E7" s="22" t="s">
        <v>272</v>
      </c>
      <c r="F7" s="23">
        <v>34</v>
      </c>
      <c r="G7" s="22"/>
    </row>
    <row r="8" spans="1:7" ht="24" customHeight="1">
      <c r="A8" s="20">
        <v>5</v>
      </c>
      <c r="B8" s="21" t="s">
        <v>23</v>
      </c>
      <c r="C8" s="20" t="s">
        <v>188</v>
      </c>
      <c r="D8" s="20" t="s">
        <v>209</v>
      </c>
      <c r="E8" s="22" t="s">
        <v>214</v>
      </c>
      <c r="F8" s="23">
        <v>26</v>
      </c>
      <c r="G8" s="22"/>
    </row>
    <row r="9" spans="1:7" ht="24" customHeight="1">
      <c r="A9" s="20">
        <v>6</v>
      </c>
      <c r="B9" s="21" t="s">
        <v>23</v>
      </c>
      <c r="C9" s="20" t="s">
        <v>188</v>
      </c>
      <c r="D9" s="20" t="s">
        <v>209</v>
      </c>
      <c r="E9" s="22" t="s">
        <v>312</v>
      </c>
      <c r="F9" s="23">
        <v>10</v>
      </c>
      <c r="G9" s="22"/>
    </row>
    <row r="10" spans="1:7" ht="24" customHeight="1">
      <c r="A10" s="20">
        <v>7</v>
      </c>
      <c r="B10" s="21" t="s">
        <v>23</v>
      </c>
      <c r="C10" s="20" t="s">
        <v>188</v>
      </c>
      <c r="D10" s="20" t="s">
        <v>209</v>
      </c>
      <c r="E10" s="22" t="s">
        <v>216</v>
      </c>
      <c r="F10" s="23">
        <v>35</v>
      </c>
      <c r="G10" s="22"/>
    </row>
    <row r="11" spans="1:7" ht="24" customHeight="1">
      <c r="A11" s="20">
        <v>8</v>
      </c>
      <c r="B11" s="21" t="s">
        <v>23</v>
      </c>
      <c r="C11" s="20" t="s">
        <v>188</v>
      </c>
      <c r="D11" s="20" t="s">
        <v>209</v>
      </c>
      <c r="E11" s="22" t="s">
        <v>292</v>
      </c>
      <c r="F11" s="23">
        <v>12</v>
      </c>
      <c r="G11" s="22"/>
    </row>
    <row r="12" spans="1:7" ht="24" customHeight="1">
      <c r="A12" s="20">
        <v>9</v>
      </c>
      <c r="B12" s="21" t="s">
        <v>23</v>
      </c>
      <c r="C12" s="20" t="s">
        <v>188</v>
      </c>
      <c r="D12" s="20" t="s">
        <v>209</v>
      </c>
      <c r="E12" s="22" t="s">
        <v>313</v>
      </c>
      <c r="F12" s="23">
        <v>55</v>
      </c>
      <c r="G12" s="22"/>
    </row>
    <row r="13" spans="1:7" ht="24" customHeight="1">
      <c r="A13" s="20">
        <v>10</v>
      </c>
      <c r="B13" s="21" t="s">
        <v>23</v>
      </c>
      <c r="C13" s="20" t="s">
        <v>188</v>
      </c>
      <c r="D13" s="20" t="s">
        <v>209</v>
      </c>
      <c r="E13" s="22" t="s">
        <v>218</v>
      </c>
      <c r="F13" s="23">
        <v>10</v>
      </c>
      <c r="G13" s="22"/>
    </row>
    <row r="14" spans="1:7" ht="24" customHeight="1">
      <c r="A14" s="20">
        <v>11</v>
      </c>
      <c r="B14" s="21" t="s">
        <v>23</v>
      </c>
      <c r="C14" s="20" t="s">
        <v>188</v>
      </c>
      <c r="D14" s="17" t="s">
        <v>219</v>
      </c>
      <c r="E14" s="36" t="s">
        <v>220</v>
      </c>
      <c r="F14" s="37">
        <f>SUM(F4:F13)</f>
        <v>250</v>
      </c>
      <c r="G14" s="36"/>
    </row>
    <row r="15" spans="1:7" ht="24" customHeight="1">
      <c r="A15" s="20">
        <v>12</v>
      </c>
      <c r="B15" s="21" t="s">
        <v>23</v>
      </c>
      <c r="C15" s="20" t="s">
        <v>188</v>
      </c>
      <c r="D15" s="20" t="s">
        <v>221</v>
      </c>
      <c r="E15" s="22" t="s">
        <v>222</v>
      </c>
      <c r="F15" s="23">
        <v>14</v>
      </c>
      <c r="G15" s="22"/>
    </row>
    <row r="16" spans="1:7" ht="24" customHeight="1">
      <c r="A16" s="20">
        <v>13</v>
      </c>
      <c r="B16" s="21" t="s">
        <v>23</v>
      </c>
      <c r="C16" s="20" t="s">
        <v>188</v>
      </c>
      <c r="D16" s="20" t="s">
        <v>221</v>
      </c>
      <c r="E16" s="22" t="s">
        <v>223</v>
      </c>
      <c r="F16" s="23">
        <v>22</v>
      </c>
      <c r="G16" s="22"/>
    </row>
    <row r="17" spans="1:7" ht="24" customHeight="1">
      <c r="A17" s="20">
        <v>14</v>
      </c>
      <c r="B17" s="21" t="s">
        <v>23</v>
      </c>
      <c r="C17" s="20" t="s">
        <v>188</v>
      </c>
      <c r="D17" s="20" t="s">
        <v>221</v>
      </c>
      <c r="E17" s="22" t="s">
        <v>314</v>
      </c>
      <c r="F17" s="23">
        <v>9</v>
      </c>
      <c r="G17" s="22"/>
    </row>
    <row r="18" spans="1:7" ht="24" customHeight="1">
      <c r="A18" s="20">
        <v>15</v>
      </c>
      <c r="B18" s="21" t="s">
        <v>23</v>
      </c>
      <c r="C18" s="20" t="s">
        <v>188</v>
      </c>
      <c r="D18" s="20" t="s">
        <v>221</v>
      </c>
      <c r="E18" s="22" t="s">
        <v>225</v>
      </c>
      <c r="F18" s="23">
        <v>20</v>
      </c>
      <c r="G18" s="22"/>
    </row>
    <row r="19" spans="1:7" ht="24" customHeight="1">
      <c r="A19" s="20">
        <v>16</v>
      </c>
      <c r="B19" s="21" t="s">
        <v>23</v>
      </c>
      <c r="C19" s="20" t="s">
        <v>188</v>
      </c>
      <c r="D19" s="20" t="s">
        <v>221</v>
      </c>
      <c r="E19" s="22" t="s">
        <v>226</v>
      </c>
      <c r="F19" s="23">
        <v>22</v>
      </c>
      <c r="G19" s="22"/>
    </row>
    <row r="20" spans="1:7" ht="24" customHeight="1">
      <c r="A20" s="20">
        <v>17</v>
      </c>
      <c r="B20" s="21" t="s">
        <v>23</v>
      </c>
      <c r="C20" s="20" t="s">
        <v>188</v>
      </c>
      <c r="D20" s="20" t="s">
        <v>221</v>
      </c>
      <c r="E20" s="22" t="s">
        <v>227</v>
      </c>
      <c r="F20" s="23">
        <v>20</v>
      </c>
      <c r="G20" s="22"/>
    </row>
    <row r="21" spans="1:7" ht="24" customHeight="1">
      <c r="A21" s="20">
        <v>18</v>
      </c>
      <c r="B21" s="21" t="s">
        <v>23</v>
      </c>
      <c r="C21" s="20" t="s">
        <v>188</v>
      </c>
      <c r="D21" s="17" t="s">
        <v>219</v>
      </c>
      <c r="E21" s="36" t="s">
        <v>228</v>
      </c>
      <c r="F21" s="37">
        <f>SUM(F15:F20)</f>
        <v>107</v>
      </c>
      <c r="G21" s="36"/>
    </row>
    <row r="22" spans="1:7" ht="24" customHeight="1">
      <c r="A22" s="20">
        <v>19</v>
      </c>
      <c r="B22" s="21" t="s">
        <v>23</v>
      </c>
      <c r="C22" s="20" t="s">
        <v>188</v>
      </c>
      <c r="D22" s="20" t="s">
        <v>229</v>
      </c>
      <c r="E22" s="22" t="s">
        <v>230</v>
      </c>
      <c r="F22" s="23">
        <v>14</v>
      </c>
      <c r="G22" s="22"/>
    </row>
    <row r="23" spans="1:7" ht="24" customHeight="1">
      <c r="A23" s="20">
        <v>20</v>
      </c>
      <c r="B23" s="21" t="s">
        <v>23</v>
      </c>
      <c r="C23" s="20" t="s">
        <v>188</v>
      </c>
      <c r="D23" s="20" t="s">
        <v>229</v>
      </c>
      <c r="E23" s="22" t="s">
        <v>231</v>
      </c>
      <c r="F23" s="23">
        <v>32</v>
      </c>
      <c r="G23" s="22"/>
    </row>
    <row r="24" spans="1:7" ht="24" customHeight="1">
      <c r="A24" s="20">
        <v>21</v>
      </c>
      <c r="B24" s="21" t="s">
        <v>23</v>
      </c>
      <c r="C24" s="20" t="s">
        <v>188</v>
      </c>
      <c r="D24" s="20" t="s">
        <v>229</v>
      </c>
      <c r="E24" s="22" t="s">
        <v>232</v>
      </c>
      <c r="F24" s="23">
        <v>18</v>
      </c>
      <c r="G24" s="22"/>
    </row>
    <row r="25" spans="1:7" ht="24" customHeight="1">
      <c r="A25" s="20">
        <v>22</v>
      </c>
      <c r="B25" s="21" t="s">
        <v>23</v>
      </c>
      <c r="C25" s="20" t="s">
        <v>188</v>
      </c>
      <c r="D25" s="20" t="s">
        <v>229</v>
      </c>
      <c r="E25" s="22" t="s">
        <v>233</v>
      </c>
      <c r="F25" s="23">
        <v>25</v>
      </c>
      <c r="G25" s="22"/>
    </row>
    <row r="26" spans="1:7" ht="24" customHeight="1">
      <c r="A26" s="20">
        <v>23</v>
      </c>
      <c r="B26" s="21" t="s">
        <v>23</v>
      </c>
      <c r="C26" s="20" t="s">
        <v>188</v>
      </c>
      <c r="D26" s="20" t="s">
        <v>229</v>
      </c>
      <c r="E26" s="22" t="s">
        <v>234</v>
      </c>
      <c r="F26" s="23">
        <v>19</v>
      </c>
      <c r="G26" s="22"/>
    </row>
    <row r="27" spans="1:7" ht="24" customHeight="1">
      <c r="A27" s="20">
        <v>24</v>
      </c>
      <c r="B27" s="21" t="s">
        <v>23</v>
      </c>
      <c r="C27" s="20" t="s">
        <v>188</v>
      </c>
      <c r="D27" s="20" t="s">
        <v>229</v>
      </c>
      <c r="E27" s="22" t="s">
        <v>237</v>
      </c>
      <c r="F27" s="23">
        <v>8</v>
      </c>
      <c r="G27" s="22"/>
    </row>
    <row r="28" spans="1:7" ht="24" customHeight="1">
      <c r="A28" s="20">
        <v>25</v>
      </c>
      <c r="B28" s="21" t="s">
        <v>23</v>
      </c>
      <c r="C28" s="20" t="s">
        <v>188</v>
      </c>
      <c r="D28" s="20" t="s">
        <v>229</v>
      </c>
      <c r="E28" s="22" t="s">
        <v>235</v>
      </c>
      <c r="F28" s="23">
        <v>10</v>
      </c>
      <c r="G28" s="22"/>
    </row>
    <row r="29" spans="1:7" ht="24" customHeight="1">
      <c r="A29" s="20">
        <v>26</v>
      </c>
      <c r="B29" s="21" t="s">
        <v>23</v>
      </c>
      <c r="C29" s="20" t="s">
        <v>188</v>
      </c>
      <c r="D29" s="17" t="s">
        <v>219</v>
      </c>
      <c r="E29" s="36" t="s">
        <v>238</v>
      </c>
      <c r="F29" s="37">
        <f>SUM(F22:F28)</f>
        <v>126</v>
      </c>
      <c r="G29" s="36"/>
    </row>
    <row r="30" spans="1:7" ht="24" customHeight="1">
      <c r="A30" s="20">
        <v>27</v>
      </c>
      <c r="B30" s="21" t="s">
        <v>23</v>
      </c>
      <c r="C30" s="20" t="s">
        <v>188</v>
      </c>
      <c r="D30" s="20" t="s">
        <v>239</v>
      </c>
      <c r="E30" s="22" t="s">
        <v>240</v>
      </c>
      <c r="F30" s="23">
        <v>70</v>
      </c>
      <c r="G30" s="22"/>
    </row>
    <row r="31" spans="1:7" ht="24" customHeight="1">
      <c r="A31" s="20">
        <v>28</v>
      </c>
      <c r="B31" s="21" t="s">
        <v>23</v>
      </c>
      <c r="C31" s="20" t="s">
        <v>188</v>
      </c>
      <c r="D31" s="20" t="s">
        <v>239</v>
      </c>
      <c r="E31" s="22" t="s">
        <v>241</v>
      </c>
      <c r="F31" s="23">
        <v>60</v>
      </c>
      <c r="G31" s="22"/>
    </row>
    <row r="32" spans="1:7" ht="24" customHeight="1">
      <c r="A32" s="20">
        <v>29</v>
      </c>
      <c r="B32" s="21" t="s">
        <v>23</v>
      </c>
      <c r="C32" s="20" t="s">
        <v>188</v>
      </c>
      <c r="D32" s="17" t="s">
        <v>219</v>
      </c>
      <c r="E32" s="36" t="s">
        <v>242</v>
      </c>
      <c r="F32" s="37">
        <f>SUM(F30:F31)</f>
        <v>130</v>
      </c>
      <c r="G32" s="36"/>
    </row>
    <row r="33" spans="1:7" ht="24" customHeight="1">
      <c r="A33" s="20">
        <v>30</v>
      </c>
      <c r="B33" s="21" t="s">
        <v>23</v>
      </c>
      <c r="C33" s="20" t="s">
        <v>188</v>
      </c>
      <c r="D33" s="20" t="s">
        <v>259</v>
      </c>
      <c r="E33" s="22" t="s">
        <v>317</v>
      </c>
      <c r="F33" s="23">
        <v>10</v>
      </c>
      <c r="G33" s="22"/>
    </row>
    <row r="34" spans="1:7" ht="24" customHeight="1">
      <c r="A34" s="20">
        <v>31</v>
      </c>
      <c r="B34" s="21" t="s">
        <v>23</v>
      </c>
      <c r="C34" s="20" t="s">
        <v>188</v>
      </c>
      <c r="D34" s="20" t="s">
        <v>259</v>
      </c>
      <c r="E34" s="22" t="s">
        <v>318</v>
      </c>
      <c r="F34" s="22">
        <v>5</v>
      </c>
      <c r="G34" s="22"/>
    </row>
    <row r="35" spans="1:7" ht="24" customHeight="1">
      <c r="A35" s="20">
        <v>32</v>
      </c>
      <c r="B35" s="21" t="s">
        <v>23</v>
      </c>
      <c r="C35" s="20" t="s">
        <v>188</v>
      </c>
      <c r="D35" s="17" t="s">
        <v>219</v>
      </c>
      <c r="E35" s="36" t="s">
        <v>261</v>
      </c>
      <c r="F35" s="37">
        <f>SUM(F33)+F34</f>
        <v>15</v>
      </c>
      <c r="G35" s="36"/>
    </row>
    <row r="36" spans="1:7" ht="24" customHeight="1">
      <c r="A36" s="20">
        <v>33</v>
      </c>
      <c r="B36" s="21" t="s">
        <v>23</v>
      </c>
      <c r="C36" s="20" t="s">
        <v>188</v>
      </c>
      <c r="D36" s="20" t="s">
        <v>243</v>
      </c>
      <c r="E36" s="22" t="s">
        <v>319</v>
      </c>
      <c r="F36" s="23">
        <v>6</v>
      </c>
      <c r="G36" s="22"/>
    </row>
    <row r="37" spans="1:7" ht="24" customHeight="1">
      <c r="A37" s="20">
        <v>34</v>
      </c>
      <c r="B37" s="21" t="s">
        <v>23</v>
      </c>
      <c r="C37" s="20" t="s">
        <v>188</v>
      </c>
      <c r="D37" s="20" t="s">
        <v>243</v>
      </c>
      <c r="E37" s="22" t="s">
        <v>320</v>
      </c>
      <c r="F37" s="23">
        <v>6</v>
      </c>
      <c r="G37" s="22"/>
    </row>
    <row r="38" spans="1:7" ht="24" customHeight="1">
      <c r="A38" s="20">
        <v>35</v>
      </c>
      <c r="B38" s="21" t="s">
        <v>23</v>
      </c>
      <c r="C38" s="20" t="s">
        <v>188</v>
      </c>
      <c r="D38" s="20" t="s">
        <v>243</v>
      </c>
      <c r="E38" s="22" t="s">
        <v>321</v>
      </c>
      <c r="F38" s="23">
        <v>10.56</v>
      </c>
      <c r="G38" s="22"/>
    </row>
    <row r="39" spans="1:7" ht="24" customHeight="1">
      <c r="A39" s="20">
        <v>36</v>
      </c>
      <c r="B39" s="21" t="s">
        <v>23</v>
      </c>
      <c r="C39" s="20" t="s">
        <v>188</v>
      </c>
      <c r="D39" s="20" t="s">
        <v>243</v>
      </c>
      <c r="E39" s="22" t="s">
        <v>247</v>
      </c>
      <c r="F39" s="23">
        <v>2</v>
      </c>
      <c r="G39" s="22"/>
    </row>
    <row r="40" spans="1:7" ht="24" customHeight="1">
      <c r="A40" s="20">
        <v>37</v>
      </c>
      <c r="B40" s="21" t="s">
        <v>23</v>
      </c>
      <c r="C40" s="20" t="s">
        <v>188</v>
      </c>
      <c r="D40" s="17" t="s">
        <v>219</v>
      </c>
      <c r="E40" s="36" t="s">
        <v>248</v>
      </c>
      <c r="F40" s="37">
        <f>SUM(F36:F39)</f>
        <v>24.56</v>
      </c>
      <c r="G40" s="36"/>
    </row>
    <row r="41" spans="1:7" ht="24" customHeight="1">
      <c r="A41" s="20">
        <v>38</v>
      </c>
      <c r="B41" s="21" t="s">
        <v>23</v>
      </c>
      <c r="C41" s="20" t="s">
        <v>188</v>
      </c>
      <c r="D41" s="20" t="s">
        <v>249</v>
      </c>
      <c r="E41" s="22" t="s">
        <v>332</v>
      </c>
      <c r="F41" s="23">
        <v>8</v>
      </c>
      <c r="G41" s="22"/>
    </row>
    <row r="42" spans="1:7" ht="24" customHeight="1">
      <c r="A42" s="20">
        <v>39</v>
      </c>
      <c r="B42" s="21" t="s">
        <v>23</v>
      </c>
      <c r="C42" s="20" t="s">
        <v>188</v>
      </c>
      <c r="D42" s="20" t="s">
        <v>249</v>
      </c>
      <c r="E42" s="22" t="s">
        <v>333</v>
      </c>
      <c r="F42" s="23">
        <v>8</v>
      </c>
      <c r="G42" s="22"/>
    </row>
    <row r="43" spans="1:7" ht="24" customHeight="1">
      <c r="A43" s="20">
        <v>40</v>
      </c>
      <c r="B43" s="21" t="s">
        <v>23</v>
      </c>
      <c r="C43" s="20" t="s">
        <v>188</v>
      </c>
      <c r="D43" s="20" t="s">
        <v>249</v>
      </c>
      <c r="E43" s="22" t="s">
        <v>975</v>
      </c>
      <c r="F43" s="23">
        <v>48</v>
      </c>
      <c r="G43" s="22"/>
    </row>
    <row r="44" spans="1:7" ht="24" customHeight="1">
      <c r="A44" s="20">
        <v>41</v>
      </c>
      <c r="B44" s="21" t="s">
        <v>23</v>
      </c>
      <c r="C44" s="20" t="s">
        <v>188</v>
      </c>
      <c r="D44" s="20" t="s">
        <v>249</v>
      </c>
      <c r="E44" s="22" t="s">
        <v>335</v>
      </c>
      <c r="F44" s="23">
        <v>8</v>
      </c>
      <c r="G44" s="22"/>
    </row>
    <row r="45" spans="1:7" ht="24" customHeight="1">
      <c r="A45" s="20">
        <v>42</v>
      </c>
      <c r="B45" s="21" t="s">
        <v>23</v>
      </c>
      <c r="C45" s="20" t="s">
        <v>188</v>
      </c>
      <c r="D45" s="20" t="s">
        <v>249</v>
      </c>
      <c r="E45" s="22" t="s">
        <v>506</v>
      </c>
      <c r="F45" s="23">
        <v>4</v>
      </c>
      <c r="G45" s="22"/>
    </row>
    <row r="46" spans="1:7" ht="24" customHeight="1">
      <c r="A46" s="20">
        <v>43</v>
      </c>
      <c r="B46" s="21" t="s">
        <v>23</v>
      </c>
      <c r="C46" s="20" t="s">
        <v>188</v>
      </c>
      <c r="D46" s="17" t="s">
        <v>219</v>
      </c>
      <c r="E46" s="36" t="s">
        <v>255</v>
      </c>
      <c r="F46" s="37">
        <f>SUM(F41:F45)</f>
        <v>76</v>
      </c>
      <c r="G46" s="36"/>
    </row>
    <row r="47" spans="1:7" ht="24" customHeight="1">
      <c r="A47" s="20">
        <v>44</v>
      </c>
      <c r="B47" s="21" t="s">
        <v>23</v>
      </c>
      <c r="C47" s="20" t="s">
        <v>188</v>
      </c>
      <c r="D47" s="20" t="s">
        <v>262</v>
      </c>
      <c r="E47" s="22" t="s">
        <v>263</v>
      </c>
      <c r="F47" s="23">
        <v>90</v>
      </c>
      <c r="G47" s="22"/>
    </row>
    <row r="48" spans="1:7" ht="24" customHeight="1">
      <c r="A48" s="20">
        <v>45</v>
      </c>
      <c r="B48" s="21" t="s">
        <v>23</v>
      </c>
      <c r="C48" s="20" t="s">
        <v>188</v>
      </c>
      <c r="D48" s="20" t="s">
        <v>262</v>
      </c>
      <c r="E48" s="22" t="s">
        <v>316</v>
      </c>
      <c r="F48" s="23">
        <v>50</v>
      </c>
      <c r="G48" s="22"/>
    </row>
    <row r="49" spans="1:7" ht="24" customHeight="1">
      <c r="A49" s="20">
        <v>46</v>
      </c>
      <c r="B49" s="21" t="s">
        <v>23</v>
      </c>
      <c r="C49" s="20" t="s">
        <v>188</v>
      </c>
      <c r="D49" s="20" t="s">
        <v>262</v>
      </c>
      <c r="E49" s="22" t="s">
        <v>265</v>
      </c>
      <c r="F49" s="23">
        <v>20</v>
      </c>
      <c r="G49" s="22"/>
    </row>
    <row r="50" spans="1:7" ht="24" customHeight="1">
      <c r="A50" s="20">
        <v>47</v>
      </c>
      <c r="B50" s="21" t="s">
        <v>23</v>
      </c>
      <c r="C50" s="20" t="s">
        <v>188</v>
      </c>
      <c r="D50" s="17" t="s">
        <v>219</v>
      </c>
      <c r="E50" s="36" t="s">
        <v>266</v>
      </c>
      <c r="F50" s="37">
        <f>SUM(F47:F49)</f>
        <v>160</v>
      </c>
      <c r="G50" s="36"/>
    </row>
    <row r="51" spans="1:7" ht="24" customHeight="1">
      <c r="A51" s="20">
        <v>48</v>
      </c>
      <c r="B51" s="21" t="s">
        <v>23</v>
      </c>
      <c r="C51" s="20" t="s">
        <v>188</v>
      </c>
      <c r="D51" s="17" t="s">
        <v>267</v>
      </c>
      <c r="E51" s="35" t="s">
        <v>976</v>
      </c>
      <c r="F51" s="61">
        <f>F14+F21+F29+F32+F35+F40+F46+F50</f>
        <v>888.56</v>
      </c>
      <c r="G51" s="36"/>
    </row>
    <row r="52" spans="1:7" ht="24" customHeight="1">
      <c r="A52" s="231" t="s">
        <v>977</v>
      </c>
      <c r="B52" s="232"/>
      <c r="C52" s="232"/>
      <c r="D52" s="232"/>
      <c r="E52" s="232"/>
      <c r="F52" s="232"/>
      <c r="G52" s="233"/>
    </row>
  </sheetData>
  <autoFilter ref="A3:G52" xr:uid="{00000000-0009-0000-0000-000042000000}"/>
  <mergeCells count="3">
    <mergeCell ref="A1:G1"/>
    <mergeCell ref="A2:G2"/>
    <mergeCell ref="A52:G52"/>
  </mergeCells>
  <phoneticPr fontId="23" type="noConversion"/>
  <pageMargins left="0.5" right="0.15748031496063" top="0.35433070866141703" bottom="0.43307086614173201" header="0.35433070866141703" footer="0.196850393700787"/>
  <pageSetup paperSize="9" orientation="portrait" horizontalDpi="1200" verticalDpi="1200" r:id="rId1"/>
  <headerFooter>
    <oddFooter>&amp;C&amp;8第 &amp;P 页，共 &amp;N 页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5" tint="-0.249977111117893"/>
  </sheetPr>
  <dimension ref="A1:G65"/>
  <sheetViews>
    <sheetView view="pageBreakPreview" zoomScale="85" zoomScaleNormal="145" zoomScaleSheetLayoutView="85" workbookViewId="0">
      <selection activeCell="J7" sqref="J7"/>
    </sheetView>
  </sheetViews>
  <sheetFormatPr defaultColWidth="9.796875" defaultRowHeight="15.75"/>
  <cols>
    <col min="1" max="1" width="4.46484375" style="13" customWidth="1"/>
    <col min="2" max="2" width="7.796875" style="14" customWidth="1"/>
    <col min="3" max="3" width="12.73046875" style="13" customWidth="1"/>
    <col min="4" max="4" width="11.06640625" style="13" customWidth="1"/>
    <col min="5" max="5" width="47.53125" style="13" customWidth="1"/>
    <col min="6" max="6" width="8.53125" style="15" customWidth="1"/>
    <col min="7" max="7" width="8.73046875" style="13" customWidth="1"/>
    <col min="8" max="16384" width="9.796875" style="16"/>
  </cols>
  <sheetData>
    <row r="1" spans="1:7" ht="24" customHeight="1">
      <c r="A1" s="229" t="s">
        <v>978</v>
      </c>
      <c r="B1" s="229"/>
      <c r="C1" s="229"/>
      <c r="D1" s="229"/>
      <c r="E1" s="229"/>
      <c r="F1" s="229"/>
      <c r="G1" s="229"/>
    </row>
    <row r="2" spans="1:7" ht="24" customHeight="1">
      <c r="A2" s="230" t="s">
        <v>979</v>
      </c>
      <c r="B2" s="230"/>
      <c r="C2" s="230"/>
      <c r="D2" s="230"/>
      <c r="E2" s="230"/>
      <c r="F2" s="230"/>
      <c r="G2" s="230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32</v>
      </c>
      <c r="C4" s="191" t="s">
        <v>1074</v>
      </c>
      <c r="D4" s="20" t="s">
        <v>209</v>
      </c>
      <c r="E4" s="22" t="s">
        <v>210</v>
      </c>
      <c r="F4" s="23">
        <v>19</v>
      </c>
      <c r="G4" s="22"/>
    </row>
    <row r="5" spans="1:7" ht="24" customHeight="1">
      <c r="A5" s="20">
        <v>2</v>
      </c>
      <c r="B5" s="21" t="s">
        <v>32</v>
      </c>
      <c r="C5" s="191" t="s">
        <v>1074</v>
      </c>
      <c r="D5" s="20" t="s">
        <v>209</v>
      </c>
      <c r="E5" s="22" t="s">
        <v>211</v>
      </c>
      <c r="F5" s="23">
        <v>15</v>
      </c>
      <c r="G5" s="22"/>
    </row>
    <row r="6" spans="1:7" ht="24" customHeight="1">
      <c r="A6" s="20">
        <v>3</v>
      </c>
      <c r="B6" s="21" t="s">
        <v>32</v>
      </c>
      <c r="C6" s="191" t="s">
        <v>1074</v>
      </c>
      <c r="D6" s="20" t="s">
        <v>209</v>
      </c>
      <c r="E6" s="22" t="s">
        <v>212</v>
      </c>
      <c r="F6" s="23">
        <v>34</v>
      </c>
      <c r="G6" s="22"/>
    </row>
    <row r="7" spans="1:7" ht="24" customHeight="1">
      <c r="A7" s="20">
        <v>4</v>
      </c>
      <c r="B7" s="21" t="s">
        <v>32</v>
      </c>
      <c r="C7" s="191" t="s">
        <v>1074</v>
      </c>
      <c r="D7" s="20" t="s">
        <v>209</v>
      </c>
      <c r="E7" s="22" t="s">
        <v>272</v>
      </c>
      <c r="F7" s="23">
        <v>34</v>
      </c>
      <c r="G7" s="22"/>
    </row>
    <row r="8" spans="1:7" ht="24" customHeight="1">
      <c r="A8" s="20">
        <v>5</v>
      </c>
      <c r="B8" s="21" t="s">
        <v>32</v>
      </c>
      <c r="C8" s="191" t="s">
        <v>1074</v>
      </c>
      <c r="D8" s="20" t="s">
        <v>209</v>
      </c>
      <c r="E8" s="22" t="s">
        <v>214</v>
      </c>
      <c r="F8" s="23">
        <v>26</v>
      </c>
      <c r="G8" s="22"/>
    </row>
    <row r="9" spans="1:7" ht="24" customHeight="1">
      <c r="A9" s="20">
        <v>6</v>
      </c>
      <c r="B9" s="21" t="s">
        <v>32</v>
      </c>
      <c r="C9" s="191" t="s">
        <v>1074</v>
      </c>
      <c r="D9" s="20" t="s">
        <v>209</v>
      </c>
      <c r="E9" s="22" t="s">
        <v>980</v>
      </c>
      <c r="F9" s="23">
        <v>20</v>
      </c>
      <c r="G9" s="22"/>
    </row>
    <row r="10" spans="1:7" ht="24" customHeight="1">
      <c r="A10" s="20">
        <v>7</v>
      </c>
      <c r="B10" s="21" t="s">
        <v>32</v>
      </c>
      <c r="C10" s="191" t="s">
        <v>1074</v>
      </c>
      <c r="D10" s="20" t="s">
        <v>209</v>
      </c>
      <c r="E10" s="22" t="s">
        <v>216</v>
      </c>
      <c r="F10" s="23">
        <v>35</v>
      </c>
      <c r="G10" s="22"/>
    </row>
    <row r="11" spans="1:7" ht="24" customHeight="1">
      <c r="A11" s="20">
        <v>8</v>
      </c>
      <c r="B11" s="21" t="s">
        <v>32</v>
      </c>
      <c r="C11" s="191" t="s">
        <v>1074</v>
      </c>
      <c r="D11" s="20" t="s">
        <v>209</v>
      </c>
      <c r="E11" s="22" t="s">
        <v>981</v>
      </c>
      <c r="F11" s="23">
        <v>10</v>
      </c>
      <c r="G11" s="22"/>
    </row>
    <row r="12" spans="1:7" ht="24" customHeight="1">
      <c r="A12" s="20">
        <v>9</v>
      </c>
      <c r="B12" s="21" t="s">
        <v>32</v>
      </c>
      <c r="C12" s="191" t="s">
        <v>1074</v>
      </c>
      <c r="D12" s="20" t="s">
        <v>209</v>
      </c>
      <c r="E12" s="22" t="s">
        <v>292</v>
      </c>
      <c r="F12" s="23">
        <v>12</v>
      </c>
      <c r="G12" s="22"/>
    </row>
    <row r="13" spans="1:7" ht="24" customHeight="1">
      <c r="A13" s="20">
        <v>10</v>
      </c>
      <c r="B13" s="21" t="s">
        <v>32</v>
      </c>
      <c r="C13" s="191" t="s">
        <v>1074</v>
      </c>
      <c r="D13" s="20" t="s">
        <v>209</v>
      </c>
      <c r="E13" s="22" t="s">
        <v>217</v>
      </c>
      <c r="F13" s="23">
        <v>55</v>
      </c>
      <c r="G13" s="22"/>
    </row>
    <row r="14" spans="1:7" ht="24" customHeight="1">
      <c r="A14" s="20">
        <v>11</v>
      </c>
      <c r="B14" s="21" t="s">
        <v>32</v>
      </c>
      <c r="C14" s="191" t="s">
        <v>1074</v>
      </c>
      <c r="D14" s="20" t="s">
        <v>209</v>
      </c>
      <c r="E14" s="22" t="s">
        <v>218</v>
      </c>
      <c r="F14" s="23">
        <v>10</v>
      </c>
      <c r="G14" s="22"/>
    </row>
    <row r="15" spans="1:7" ht="24" customHeight="1">
      <c r="A15" s="20">
        <v>12</v>
      </c>
      <c r="B15" s="21" t="s">
        <v>32</v>
      </c>
      <c r="C15" s="191" t="s">
        <v>1074</v>
      </c>
      <c r="D15" s="17" t="s">
        <v>219</v>
      </c>
      <c r="E15" s="36" t="s">
        <v>220</v>
      </c>
      <c r="F15" s="37">
        <f>SUM(F4:F14)</f>
        <v>270</v>
      </c>
      <c r="G15" s="52"/>
    </row>
    <row r="16" spans="1:7" ht="24" customHeight="1">
      <c r="A16" s="20">
        <v>13</v>
      </c>
      <c r="B16" s="21" t="s">
        <v>32</v>
      </c>
      <c r="C16" s="191" t="s">
        <v>1074</v>
      </c>
      <c r="D16" s="20" t="s">
        <v>221</v>
      </c>
      <c r="E16" s="22" t="s">
        <v>222</v>
      </c>
      <c r="F16" s="23">
        <v>14</v>
      </c>
      <c r="G16" s="22"/>
    </row>
    <row r="17" spans="1:7" ht="24" customHeight="1">
      <c r="A17" s="20">
        <v>14</v>
      </c>
      <c r="B17" s="21" t="s">
        <v>32</v>
      </c>
      <c r="C17" s="191" t="s">
        <v>1074</v>
      </c>
      <c r="D17" s="20" t="s">
        <v>221</v>
      </c>
      <c r="E17" s="22" t="s">
        <v>293</v>
      </c>
      <c r="F17" s="23">
        <v>22</v>
      </c>
      <c r="G17" s="22"/>
    </row>
    <row r="18" spans="1:7" ht="24" customHeight="1">
      <c r="A18" s="20">
        <v>15</v>
      </c>
      <c r="B18" s="21" t="s">
        <v>32</v>
      </c>
      <c r="C18" s="191" t="s">
        <v>1074</v>
      </c>
      <c r="D18" s="20" t="s">
        <v>221</v>
      </c>
      <c r="E18" s="22" t="s">
        <v>224</v>
      </c>
      <c r="F18" s="23">
        <v>9</v>
      </c>
      <c r="G18" s="22"/>
    </row>
    <row r="19" spans="1:7" ht="24" customHeight="1">
      <c r="A19" s="20">
        <v>16</v>
      </c>
      <c r="B19" s="21" t="s">
        <v>32</v>
      </c>
      <c r="C19" s="191" t="s">
        <v>1074</v>
      </c>
      <c r="D19" s="20" t="s">
        <v>221</v>
      </c>
      <c r="E19" s="22" t="s">
        <v>462</v>
      </c>
      <c r="F19" s="22">
        <v>12</v>
      </c>
      <c r="G19" s="22"/>
    </row>
    <row r="20" spans="1:7" ht="24" customHeight="1">
      <c r="A20" s="20">
        <v>17</v>
      </c>
      <c r="B20" s="21" t="s">
        <v>32</v>
      </c>
      <c r="C20" s="191" t="s">
        <v>1074</v>
      </c>
      <c r="D20" s="20" t="s">
        <v>221</v>
      </c>
      <c r="E20" s="22" t="s">
        <v>982</v>
      </c>
      <c r="F20" s="23">
        <v>12</v>
      </c>
      <c r="G20" s="22"/>
    </row>
    <row r="21" spans="1:7" ht="24" customHeight="1">
      <c r="A21" s="20">
        <v>18</v>
      </c>
      <c r="B21" s="21" t="s">
        <v>32</v>
      </c>
      <c r="C21" s="191" t="s">
        <v>1074</v>
      </c>
      <c r="D21" s="20" t="s">
        <v>221</v>
      </c>
      <c r="E21" s="22" t="s">
        <v>225</v>
      </c>
      <c r="F21" s="23">
        <v>20</v>
      </c>
      <c r="G21" s="22"/>
    </row>
    <row r="22" spans="1:7" ht="24" customHeight="1">
      <c r="A22" s="20">
        <v>19</v>
      </c>
      <c r="B22" s="21" t="s">
        <v>32</v>
      </c>
      <c r="C22" s="191" t="s">
        <v>1074</v>
      </c>
      <c r="D22" s="20" t="s">
        <v>221</v>
      </c>
      <c r="E22" s="22" t="s">
        <v>294</v>
      </c>
      <c r="F22" s="23">
        <v>22</v>
      </c>
      <c r="G22" s="22"/>
    </row>
    <row r="23" spans="1:7" ht="24" customHeight="1">
      <c r="A23" s="20">
        <v>20</v>
      </c>
      <c r="B23" s="21" t="s">
        <v>32</v>
      </c>
      <c r="C23" s="191" t="s">
        <v>1074</v>
      </c>
      <c r="D23" s="20" t="s">
        <v>221</v>
      </c>
      <c r="E23" s="22" t="s">
        <v>227</v>
      </c>
      <c r="F23" s="23">
        <v>20</v>
      </c>
      <c r="G23" s="22"/>
    </row>
    <row r="24" spans="1:7" ht="24" customHeight="1">
      <c r="A24" s="20">
        <v>21</v>
      </c>
      <c r="B24" s="21" t="s">
        <v>32</v>
      </c>
      <c r="C24" s="191" t="s">
        <v>1074</v>
      </c>
      <c r="D24" s="17" t="s">
        <v>219</v>
      </c>
      <c r="E24" s="36" t="s">
        <v>228</v>
      </c>
      <c r="F24" s="37">
        <f>SUM(F16:F23)</f>
        <v>131</v>
      </c>
      <c r="G24" s="52"/>
    </row>
    <row r="25" spans="1:7" ht="24" customHeight="1">
      <c r="A25" s="20">
        <v>22</v>
      </c>
      <c r="B25" s="21" t="s">
        <v>32</v>
      </c>
      <c r="C25" s="191" t="s">
        <v>1074</v>
      </c>
      <c r="D25" s="20" t="s">
        <v>229</v>
      </c>
      <c r="E25" s="22" t="s">
        <v>230</v>
      </c>
      <c r="F25" s="23">
        <v>14</v>
      </c>
      <c r="G25" s="22"/>
    </row>
    <row r="26" spans="1:7" ht="24" customHeight="1">
      <c r="A26" s="20">
        <v>23</v>
      </c>
      <c r="B26" s="21" t="s">
        <v>32</v>
      </c>
      <c r="C26" s="191" t="s">
        <v>1074</v>
      </c>
      <c r="D26" s="20" t="s">
        <v>229</v>
      </c>
      <c r="E26" s="22" t="s">
        <v>295</v>
      </c>
      <c r="F26" s="23">
        <v>32</v>
      </c>
      <c r="G26" s="22"/>
    </row>
    <row r="27" spans="1:7" ht="24" customHeight="1">
      <c r="A27" s="20">
        <v>24</v>
      </c>
      <c r="B27" s="21" t="s">
        <v>32</v>
      </c>
      <c r="C27" s="191" t="s">
        <v>1074</v>
      </c>
      <c r="D27" s="20" t="s">
        <v>229</v>
      </c>
      <c r="E27" s="22" t="s">
        <v>232</v>
      </c>
      <c r="F27" s="23">
        <v>18</v>
      </c>
      <c r="G27" s="22"/>
    </row>
    <row r="28" spans="1:7" ht="24" customHeight="1">
      <c r="A28" s="20">
        <v>25</v>
      </c>
      <c r="B28" s="21" t="s">
        <v>32</v>
      </c>
      <c r="C28" s="191" t="s">
        <v>1074</v>
      </c>
      <c r="D28" s="20" t="s">
        <v>229</v>
      </c>
      <c r="E28" s="22" t="s">
        <v>385</v>
      </c>
      <c r="F28" s="22">
        <v>18</v>
      </c>
      <c r="G28" s="22"/>
    </row>
    <row r="29" spans="1:7" ht="24" customHeight="1">
      <c r="A29" s="20">
        <v>26</v>
      </c>
      <c r="B29" s="21" t="s">
        <v>32</v>
      </c>
      <c r="C29" s="191" t="s">
        <v>1074</v>
      </c>
      <c r="D29" s="20" t="s">
        <v>229</v>
      </c>
      <c r="E29" s="22" t="s">
        <v>233</v>
      </c>
      <c r="F29" s="23">
        <v>25</v>
      </c>
      <c r="G29" s="22"/>
    </row>
    <row r="30" spans="1:7" ht="24" customHeight="1">
      <c r="A30" s="20">
        <v>27</v>
      </c>
      <c r="B30" s="21" t="s">
        <v>32</v>
      </c>
      <c r="C30" s="191" t="s">
        <v>1074</v>
      </c>
      <c r="D30" s="20" t="s">
        <v>229</v>
      </c>
      <c r="E30" s="22" t="s">
        <v>234</v>
      </c>
      <c r="F30" s="23">
        <v>19</v>
      </c>
      <c r="G30" s="22"/>
    </row>
    <row r="31" spans="1:7" ht="24" customHeight="1">
      <c r="A31" s="20">
        <v>28</v>
      </c>
      <c r="B31" s="21" t="s">
        <v>32</v>
      </c>
      <c r="C31" s="191" t="s">
        <v>1074</v>
      </c>
      <c r="D31" s="20" t="s">
        <v>229</v>
      </c>
      <c r="E31" s="22" t="s">
        <v>235</v>
      </c>
      <c r="F31" s="23">
        <v>10</v>
      </c>
      <c r="G31" s="22"/>
    </row>
    <row r="32" spans="1:7" ht="24" customHeight="1">
      <c r="A32" s="20">
        <v>29</v>
      </c>
      <c r="B32" s="21" t="s">
        <v>32</v>
      </c>
      <c r="C32" s="191" t="s">
        <v>1074</v>
      </c>
      <c r="D32" s="20" t="s">
        <v>229</v>
      </c>
      <c r="E32" s="43" t="s">
        <v>983</v>
      </c>
      <c r="F32" s="23">
        <v>18</v>
      </c>
      <c r="G32" s="22"/>
    </row>
    <row r="33" spans="1:7" ht="24" customHeight="1">
      <c r="A33" s="20">
        <v>30</v>
      </c>
      <c r="B33" s="21" t="s">
        <v>32</v>
      </c>
      <c r="C33" s="191" t="s">
        <v>1074</v>
      </c>
      <c r="D33" s="20" t="s">
        <v>229</v>
      </c>
      <c r="E33" s="22" t="s">
        <v>984</v>
      </c>
      <c r="F33" s="23">
        <v>8</v>
      </c>
      <c r="G33" s="22"/>
    </row>
    <row r="34" spans="1:7" ht="24" customHeight="1">
      <c r="A34" s="20">
        <v>31</v>
      </c>
      <c r="B34" s="21" t="s">
        <v>32</v>
      </c>
      <c r="C34" s="191" t="s">
        <v>1074</v>
      </c>
      <c r="D34" s="20" t="s">
        <v>229</v>
      </c>
      <c r="E34" s="22" t="s">
        <v>297</v>
      </c>
      <c r="F34" s="23">
        <v>8</v>
      </c>
      <c r="G34" s="22"/>
    </row>
    <row r="35" spans="1:7" ht="24" customHeight="1">
      <c r="A35" s="20">
        <v>32</v>
      </c>
      <c r="B35" s="21" t="s">
        <v>32</v>
      </c>
      <c r="C35" s="191" t="s">
        <v>1074</v>
      </c>
      <c r="D35" s="20" t="s">
        <v>229</v>
      </c>
      <c r="E35" s="53" t="s">
        <v>298</v>
      </c>
      <c r="F35" s="57">
        <v>20</v>
      </c>
      <c r="G35" s="52"/>
    </row>
    <row r="36" spans="1:7" ht="24" customHeight="1">
      <c r="A36" s="20">
        <v>33</v>
      </c>
      <c r="B36" s="21" t="s">
        <v>32</v>
      </c>
      <c r="C36" s="191" t="s">
        <v>1074</v>
      </c>
      <c r="D36" s="17" t="s">
        <v>219</v>
      </c>
      <c r="E36" s="36" t="s">
        <v>238</v>
      </c>
      <c r="F36" s="37">
        <f>SUM(F25:F35)</f>
        <v>190</v>
      </c>
      <c r="G36" s="52"/>
    </row>
    <row r="37" spans="1:7" ht="24" customHeight="1">
      <c r="A37" s="20">
        <v>34</v>
      </c>
      <c r="B37" s="21" t="s">
        <v>32</v>
      </c>
      <c r="C37" s="191" t="s">
        <v>1074</v>
      </c>
      <c r="D37" s="20" t="s">
        <v>239</v>
      </c>
      <c r="E37" s="22" t="s">
        <v>985</v>
      </c>
      <c r="F37" s="23">
        <v>80</v>
      </c>
      <c r="G37" s="22"/>
    </row>
    <row r="38" spans="1:7" ht="24" customHeight="1">
      <c r="A38" s="20">
        <v>35</v>
      </c>
      <c r="B38" s="21" t="s">
        <v>32</v>
      </c>
      <c r="C38" s="191" t="s">
        <v>1074</v>
      </c>
      <c r="D38" s="20" t="s">
        <v>239</v>
      </c>
      <c r="E38" s="22" t="s">
        <v>241</v>
      </c>
      <c r="F38" s="23">
        <v>60</v>
      </c>
      <c r="G38" s="22"/>
    </row>
    <row r="39" spans="1:7" ht="24" customHeight="1">
      <c r="A39" s="20">
        <v>36</v>
      </c>
      <c r="B39" s="21" t="s">
        <v>32</v>
      </c>
      <c r="C39" s="191" t="s">
        <v>1074</v>
      </c>
      <c r="D39" s="17" t="s">
        <v>219</v>
      </c>
      <c r="E39" s="53" t="s">
        <v>242</v>
      </c>
      <c r="F39" s="37">
        <f>SUM(F37:F38)</f>
        <v>140</v>
      </c>
      <c r="G39" s="52"/>
    </row>
    <row r="40" spans="1:7" ht="24" customHeight="1">
      <c r="A40" s="20">
        <v>37</v>
      </c>
      <c r="B40" s="21" t="s">
        <v>32</v>
      </c>
      <c r="C40" s="191" t="s">
        <v>1074</v>
      </c>
      <c r="D40" s="20" t="s">
        <v>259</v>
      </c>
      <c r="E40" s="58" t="s">
        <v>986</v>
      </c>
      <c r="F40" s="59">
        <v>55</v>
      </c>
      <c r="G40" s="45" t="s">
        <v>987</v>
      </c>
    </row>
    <row r="41" spans="1:7" ht="24" customHeight="1">
      <c r="A41" s="20">
        <v>38</v>
      </c>
      <c r="B41" s="21" t="s">
        <v>32</v>
      </c>
      <c r="C41" s="191" t="s">
        <v>1074</v>
      </c>
      <c r="D41" s="20" t="s">
        <v>259</v>
      </c>
      <c r="E41" s="60" t="s">
        <v>988</v>
      </c>
      <c r="F41" s="23">
        <v>660</v>
      </c>
      <c r="G41" s="20" t="s">
        <v>987</v>
      </c>
    </row>
    <row r="42" spans="1:7" ht="24" customHeight="1">
      <c r="A42" s="20">
        <v>39</v>
      </c>
      <c r="B42" s="21" t="s">
        <v>32</v>
      </c>
      <c r="C42" s="191" t="s">
        <v>1074</v>
      </c>
      <c r="D42" s="17" t="s">
        <v>219</v>
      </c>
      <c r="E42" s="36" t="s">
        <v>300</v>
      </c>
      <c r="F42" s="37">
        <f>F41+F40</f>
        <v>715</v>
      </c>
      <c r="G42" s="52"/>
    </row>
    <row r="43" spans="1:7" ht="24" customHeight="1">
      <c r="A43" s="20">
        <v>40</v>
      </c>
      <c r="B43" s="21" t="s">
        <v>32</v>
      </c>
      <c r="C43" s="191" t="s">
        <v>1074</v>
      </c>
      <c r="D43" s="20" t="s">
        <v>243</v>
      </c>
      <c r="E43" s="43" t="s">
        <v>301</v>
      </c>
      <c r="F43" s="23">
        <v>7.2</v>
      </c>
      <c r="G43" s="22"/>
    </row>
    <row r="44" spans="1:7" ht="24" customHeight="1">
      <c r="A44" s="20">
        <v>41</v>
      </c>
      <c r="B44" s="21" t="s">
        <v>32</v>
      </c>
      <c r="C44" s="191" t="s">
        <v>1074</v>
      </c>
      <c r="D44" s="20" t="s">
        <v>243</v>
      </c>
      <c r="E44" s="43" t="s">
        <v>302</v>
      </c>
      <c r="F44" s="23">
        <v>7.2</v>
      </c>
      <c r="G44" s="22"/>
    </row>
    <row r="45" spans="1:7" ht="24" customHeight="1">
      <c r="A45" s="20">
        <v>42</v>
      </c>
      <c r="B45" s="21" t="s">
        <v>32</v>
      </c>
      <c r="C45" s="191" t="s">
        <v>1074</v>
      </c>
      <c r="D45" s="20" t="s">
        <v>243</v>
      </c>
      <c r="E45" s="43" t="s">
        <v>303</v>
      </c>
      <c r="F45" s="23">
        <v>15.84</v>
      </c>
      <c r="G45" s="22"/>
    </row>
    <row r="46" spans="1:7" ht="24" customHeight="1">
      <c r="A46" s="20">
        <v>43</v>
      </c>
      <c r="B46" s="21" t="s">
        <v>32</v>
      </c>
      <c r="C46" s="191" t="s">
        <v>1074</v>
      </c>
      <c r="D46" s="20" t="s">
        <v>243</v>
      </c>
      <c r="E46" s="43" t="s">
        <v>247</v>
      </c>
      <c r="F46" s="23">
        <v>2</v>
      </c>
      <c r="G46" s="22"/>
    </row>
    <row r="47" spans="1:7" ht="24" customHeight="1">
      <c r="A47" s="20">
        <v>44</v>
      </c>
      <c r="B47" s="21" t="s">
        <v>32</v>
      </c>
      <c r="C47" s="191" t="s">
        <v>1074</v>
      </c>
      <c r="D47" s="17" t="s">
        <v>219</v>
      </c>
      <c r="E47" s="36" t="s">
        <v>248</v>
      </c>
      <c r="F47" s="37">
        <f>SUM(F43:F46)</f>
        <v>32.24</v>
      </c>
      <c r="G47" s="52"/>
    </row>
    <row r="48" spans="1:7" ht="24" customHeight="1">
      <c r="A48" s="20">
        <v>45</v>
      </c>
      <c r="B48" s="21" t="s">
        <v>32</v>
      </c>
      <c r="C48" s="191" t="s">
        <v>1074</v>
      </c>
      <c r="D48" s="20" t="s">
        <v>989</v>
      </c>
      <c r="E48" s="22" t="s">
        <v>990</v>
      </c>
      <c r="F48" s="23">
        <v>30</v>
      </c>
      <c r="G48" s="22"/>
    </row>
    <row r="49" spans="1:7" ht="24" customHeight="1">
      <c r="A49" s="20">
        <v>46</v>
      </c>
      <c r="B49" s="21" t="s">
        <v>32</v>
      </c>
      <c r="C49" s="191" t="s">
        <v>1074</v>
      </c>
      <c r="D49" s="20" t="s">
        <v>989</v>
      </c>
      <c r="E49" s="22" t="s">
        <v>991</v>
      </c>
      <c r="F49" s="23">
        <v>4</v>
      </c>
      <c r="G49" s="22"/>
    </row>
    <row r="50" spans="1:7" ht="24" customHeight="1">
      <c r="A50" s="20">
        <v>47</v>
      </c>
      <c r="B50" s="21" t="s">
        <v>32</v>
      </c>
      <c r="C50" s="191" t="s">
        <v>1074</v>
      </c>
      <c r="D50" s="17" t="s">
        <v>219</v>
      </c>
      <c r="E50" s="36" t="s">
        <v>992</v>
      </c>
      <c r="F50" s="37">
        <f>SUM(F48:F49)</f>
        <v>34</v>
      </c>
      <c r="G50" s="52"/>
    </row>
    <row r="51" spans="1:7" ht="24" customHeight="1">
      <c r="A51" s="20">
        <v>48</v>
      </c>
      <c r="B51" s="21" t="s">
        <v>32</v>
      </c>
      <c r="C51" s="191" t="s">
        <v>1074</v>
      </c>
      <c r="D51" s="20" t="s">
        <v>249</v>
      </c>
      <c r="E51" s="54" t="s">
        <v>993</v>
      </c>
      <c r="F51" s="23">
        <v>10.5</v>
      </c>
      <c r="G51" s="22"/>
    </row>
    <row r="52" spans="1:7" ht="24" customHeight="1">
      <c r="A52" s="20">
        <v>49</v>
      </c>
      <c r="B52" s="21" t="s">
        <v>32</v>
      </c>
      <c r="C52" s="191" t="s">
        <v>1074</v>
      </c>
      <c r="D52" s="20" t="s">
        <v>249</v>
      </c>
      <c r="E52" s="39" t="s">
        <v>994</v>
      </c>
      <c r="F52" s="23">
        <v>60</v>
      </c>
      <c r="G52" s="22"/>
    </row>
    <row r="53" spans="1:7" ht="24" customHeight="1">
      <c r="A53" s="20">
        <v>50</v>
      </c>
      <c r="B53" s="21" t="s">
        <v>32</v>
      </c>
      <c r="C53" s="191" t="s">
        <v>1074</v>
      </c>
      <c r="D53" s="20" t="s">
        <v>249</v>
      </c>
      <c r="E53" s="39" t="s">
        <v>284</v>
      </c>
      <c r="F53" s="23">
        <v>10</v>
      </c>
      <c r="G53" s="22"/>
    </row>
    <row r="54" spans="1:7" ht="30" customHeight="1">
      <c r="A54" s="20">
        <v>51</v>
      </c>
      <c r="B54" s="21" t="s">
        <v>32</v>
      </c>
      <c r="C54" s="191" t="s">
        <v>1074</v>
      </c>
      <c r="D54" s="20" t="s">
        <v>249</v>
      </c>
      <c r="E54" s="55" t="s">
        <v>995</v>
      </c>
      <c r="F54" s="23">
        <v>45</v>
      </c>
      <c r="G54" s="22"/>
    </row>
    <row r="55" spans="1:7" ht="32" customHeight="1">
      <c r="A55" s="20">
        <v>52</v>
      </c>
      <c r="B55" s="21" t="s">
        <v>32</v>
      </c>
      <c r="C55" s="191" t="s">
        <v>1074</v>
      </c>
      <c r="D55" s="20" t="s">
        <v>249</v>
      </c>
      <c r="E55" s="55" t="s">
        <v>996</v>
      </c>
      <c r="F55" s="23">
        <v>140</v>
      </c>
      <c r="G55" s="22"/>
    </row>
    <row r="56" spans="1:7" ht="33.5" customHeight="1">
      <c r="A56" s="20">
        <v>53</v>
      </c>
      <c r="B56" s="21" t="s">
        <v>32</v>
      </c>
      <c r="C56" s="191" t="s">
        <v>1074</v>
      </c>
      <c r="D56" s="20" t="s">
        <v>249</v>
      </c>
      <c r="E56" s="55" t="s">
        <v>997</v>
      </c>
      <c r="F56" s="23">
        <v>20</v>
      </c>
      <c r="G56" s="22"/>
    </row>
    <row r="57" spans="1:7" ht="37.049999999999997" customHeight="1">
      <c r="A57" s="20">
        <v>54</v>
      </c>
      <c r="B57" s="21" t="s">
        <v>32</v>
      </c>
      <c r="C57" s="191" t="s">
        <v>1074</v>
      </c>
      <c r="D57" s="20" t="s">
        <v>249</v>
      </c>
      <c r="E57" s="55" t="s">
        <v>998</v>
      </c>
      <c r="F57" s="23">
        <v>100</v>
      </c>
      <c r="G57" s="22"/>
    </row>
    <row r="58" spans="1:7" ht="24" customHeight="1">
      <c r="A58" s="20">
        <v>55</v>
      </c>
      <c r="B58" s="21" t="s">
        <v>32</v>
      </c>
      <c r="C58" s="191" t="s">
        <v>1074</v>
      </c>
      <c r="D58" s="17" t="s">
        <v>219</v>
      </c>
      <c r="E58" s="36" t="s">
        <v>255</v>
      </c>
      <c r="F58" s="37">
        <f>SUM(F51:F57)</f>
        <v>385.5</v>
      </c>
      <c r="G58" s="52"/>
    </row>
    <row r="59" spans="1:7" ht="24" customHeight="1">
      <c r="A59" s="20">
        <v>56</v>
      </c>
      <c r="B59" s="21" t="s">
        <v>32</v>
      </c>
      <c r="C59" s="191" t="s">
        <v>1074</v>
      </c>
      <c r="D59" s="20" t="s">
        <v>262</v>
      </c>
      <c r="E59" s="22" t="s">
        <v>263</v>
      </c>
      <c r="F59" s="23">
        <v>85</v>
      </c>
      <c r="G59" s="22"/>
    </row>
    <row r="60" spans="1:7" ht="24" customHeight="1">
      <c r="A60" s="20">
        <v>57</v>
      </c>
      <c r="B60" s="21" t="s">
        <v>32</v>
      </c>
      <c r="C60" s="191" t="s">
        <v>1074</v>
      </c>
      <c r="D60" s="20" t="s">
        <v>262</v>
      </c>
      <c r="E60" s="22" t="s">
        <v>999</v>
      </c>
      <c r="F60" s="22">
        <v>20</v>
      </c>
      <c r="G60" s="22"/>
    </row>
    <row r="61" spans="1:7" ht="24" customHeight="1">
      <c r="A61" s="20">
        <v>58</v>
      </c>
      <c r="B61" s="21" t="s">
        <v>32</v>
      </c>
      <c r="C61" s="191" t="s">
        <v>1074</v>
      </c>
      <c r="D61" s="20" t="s">
        <v>262</v>
      </c>
      <c r="E61" s="22" t="s">
        <v>264</v>
      </c>
      <c r="F61" s="23">
        <v>40</v>
      </c>
      <c r="G61" s="22"/>
    </row>
    <row r="62" spans="1:7" ht="24" customHeight="1">
      <c r="A62" s="20">
        <v>59</v>
      </c>
      <c r="B62" s="21" t="s">
        <v>32</v>
      </c>
      <c r="C62" s="191" t="s">
        <v>1074</v>
      </c>
      <c r="D62" s="20" t="s">
        <v>262</v>
      </c>
      <c r="E62" s="22" t="s">
        <v>265</v>
      </c>
      <c r="F62" s="23">
        <v>20</v>
      </c>
      <c r="G62" s="22"/>
    </row>
    <row r="63" spans="1:7" ht="24" customHeight="1">
      <c r="A63" s="20">
        <v>60</v>
      </c>
      <c r="B63" s="21" t="s">
        <v>32</v>
      </c>
      <c r="C63" s="191" t="s">
        <v>1074</v>
      </c>
      <c r="D63" s="17" t="s">
        <v>219</v>
      </c>
      <c r="E63" s="36" t="s">
        <v>266</v>
      </c>
      <c r="F63" s="37">
        <f>SUM(F59:F62)</f>
        <v>165</v>
      </c>
      <c r="G63" s="52"/>
    </row>
    <row r="64" spans="1:7" ht="24" customHeight="1">
      <c r="A64" s="20">
        <v>61</v>
      </c>
      <c r="B64" s="21" t="s">
        <v>32</v>
      </c>
      <c r="C64" s="191" t="s">
        <v>1074</v>
      </c>
      <c r="D64" s="17" t="s">
        <v>267</v>
      </c>
      <c r="E64" s="36" t="s">
        <v>1000</v>
      </c>
      <c r="F64" s="37">
        <v>2062.7399999999998</v>
      </c>
      <c r="G64" s="52"/>
    </row>
    <row r="65" spans="1:7" ht="24" customHeight="1">
      <c r="A65" s="244" t="s">
        <v>1058</v>
      </c>
      <c r="B65" s="232"/>
      <c r="C65" s="232"/>
      <c r="D65" s="232"/>
      <c r="E65" s="232"/>
      <c r="F65" s="232"/>
      <c r="G65" s="233"/>
    </row>
  </sheetData>
  <autoFilter ref="A3:G65" xr:uid="{00000000-0009-0000-0000-000043000000}"/>
  <mergeCells count="3">
    <mergeCell ref="A1:G1"/>
    <mergeCell ref="A2:G2"/>
    <mergeCell ref="A65:G65"/>
  </mergeCells>
  <phoneticPr fontId="23" type="noConversion"/>
  <pageMargins left="0.27559055118110198" right="0.15748031496063" top="0.35433070866141703" bottom="0.43307086614173201" header="0.35433070866141703" footer="0.196850393700787"/>
  <pageSetup paperSize="9" orientation="portrait" horizontalDpi="1200" verticalDpi="1200" r:id="rId1"/>
  <headerFooter>
    <oddFooter>&amp;C&amp;8第 &amp;P 页，共 &amp;N 页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5" tint="-0.249977111117893"/>
  </sheetPr>
  <dimension ref="A1:G63"/>
  <sheetViews>
    <sheetView view="pageBreakPreview" topLeftCell="A43" zoomScale="70" zoomScaleNormal="115" zoomScaleSheetLayoutView="70" workbookViewId="0">
      <selection activeCell="E13" sqref="E13"/>
    </sheetView>
  </sheetViews>
  <sheetFormatPr defaultColWidth="9.796875" defaultRowHeight="15.75"/>
  <cols>
    <col min="1" max="1" width="4.46484375" style="13" customWidth="1"/>
    <col min="2" max="2" width="7.796875" style="14" customWidth="1"/>
    <col min="3" max="3" width="11.9296875" style="13" customWidth="1"/>
    <col min="4" max="4" width="11.46484375" style="13" customWidth="1"/>
    <col min="5" max="5" width="47.59765625" style="13" customWidth="1"/>
    <col min="6" max="6" width="8.53125" style="15" customWidth="1"/>
    <col min="7" max="7" width="8.53125" style="13" customWidth="1"/>
    <col min="8" max="16384" width="9.796875" style="16"/>
  </cols>
  <sheetData>
    <row r="1" spans="1:7" ht="24" customHeight="1">
      <c r="A1" s="229" t="s">
        <v>1001</v>
      </c>
      <c r="B1" s="229"/>
      <c r="C1" s="229"/>
      <c r="D1" s="229"/>
      <c r="E1" s="229"/>
      <c r="F1" s="229"/>
      <c r="G1" s="229"/>
    </row>
    <row r="2" spans="1:7" ht="24" customHeight="1">
      <c r="A2" s="245" t="s">
        <v>1067</v>
      </c>
      <c r="B2" s="230"/>
      <c r="C2" s="230"/>
      <c r="D2" s="230"/>
      <c r="E2" s="230"/>
      <c r="F2" s="230"/>
      <c r="G2" s="230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191" t="s">
        <v>1071</v>
      </c>
      <c r="D4" s="20" t="s">
        <v>209</v>
      </c>
      <c r="E4" s="22" t="s">
        <v>210</v>
      </c>
      <c r="F4" s="23">
        <v>19</v>
      </c>
      <c r="G4" s="22"/>
    </row>
    <row r="5" spans="1:7" ht="24" customHeight="1">
      <c r="A5" s="20">
        <v>2</v>
      </c>
      <c r="B5" s="21" t="s">
        <v>23</v>
      </c>
      <c r="C5" s="191" t="s">
        <v>1071</v>
      </c>
      <c r="D5" s="20" t="s">
        <v>209</v>
      </c>
      <c r="E5" s="22" t="s">
        <v>211</v>
      </c>
      <c r="F5" s="23">
        <v>15</v>
      </c>
      <c r="G5" s="22"/>
    </row>
    <row r="6" spans="1:7" ht="24" customHeight="1">
      <c r="A6" s="20">
        <v>3</v>
      </c>
      <c r="B6" s="21" t="s">
        <v>23</v>
      </c>
      <c r="C6" s="191" t="s">
        <v>1071</v>
      </c>
      <c r="D6" s="20" t="s">
        <v>209</v>
      </c>
      <c r="E6" s="22" t="s">
        <v>212</v>
      </c>
      <c r="F6" s="23">
        <v>34</v>
      </c>
      <c r="G6" s="22"/>
    </row>
    <row r="7" spans="1:7" ht="24" customHeight="1">
      <c r="A7" s="20">
        <v>4</v>
      </c>
      <c r="B7" s="21" t="s">
        <v>23</v>
      </c>
      <c r="C7" s="191" t="s">
        <v>1071</v>
      </c>
      <c r="D7" s="20" t="s">
        <v>209</v>
      </c>
      <c r="E7" s="22" t="s">
        <v>272</v>
      </c>
      <c r="F7" s="23">
        <v>34</v>
      </c>
      <c r="G7" s="22"/>
    </row>
    <row r="8" spans="1:7" ht="24" customHeight="1">
      <c r="A8" s="20">
        <v>5</v>
      </c>
      <c r="B8" s="21" t="s">
        <v>23</v>
      </c>
      <c r="C8" s="191" t="s">
        <v>1071</v>
      </c>
      <c r="D8" s="20" t="s">
        <v>209</v>
      </c>
      <c r="E8" s="22" t="s">
        <v>214</v>
      </c>
      <c r="F8" s="23">
        <v>26</v>
      </c>
      <c r="G8" s="22"/>
    </row>
    <row r="9" spans="1:7" ht="24" customHeight="1">
      <c r="A9" s="20">
        <v>6</v>
      </c>
      <c r="B9" s="21" t="s">
        <v>23</v>
      </c>
      <c r="C9" s="191" t="s">
        <v>1071</v>
      </c>
      <c r="D9" s="20" t="s">
        <v>209</v>
      </c>
      <c r="E9" s="22" t="s">
        <v>980</v>
      </c>
      <c r="F9" s="23">
        <v>20</v>
      </c>
      <c r="G9" s="22"/>
    </row>
    <row r="10" spans="1:7" ht="24" customHeight="1">
      <c r="A10" s="20">
        <v>7</v>
      </c>
      <c r="B10" s="21" t="s">
        <v>23</v>
      </c>
      <c r="C10" s="191" t="s">
        <v>1071</v>
      </c>
      <c r="D10" s="20" t="s">
        <v>209</v>
      </c>
      <c r="E10" s="22" t="s">
        <v>216</v>
      </c>
      <c r="F10" s="23">
        <v>40</v>
      </c>
      <c r="G10" s="22"/>
    </row>
    <row r="11" spans="1:7" ht="24" customHeight="1">
      <c r="A11" s="20">
        <v>8</v>
      </c>
      <c r="B11" s="21" t="s">
        <v>23</v>
      </c>
      <c r="C11" s="191" t="s">
        <v>1071</v>
      </c>
      <c r="D11" s="20" t="s">
        <v>209</v>
      </c>
      <c r="E11" s="22" t="s">
        <v>292</v>
      </c>
      <c r="F11" s="23">
        <v>18</v>
      </c>
      <c r="G11" s="22"/>
    </row>
    <row r="12" spans="1:7" ht="24" customHeight="1">
      <c r="A12" s="20">
        <v>9</v>
      </c>
      <c r="B12" s="21" t="s">
        <v>23</v>
      </c>
      <c r="C12" s="191" t="s">
        <v>1071</v>
      </c>
      <c r="D12" s="20" t="s">
        <v>209</v>
      </c>
      <c r="E12" s="22" t="s">
        <v>981</v>
      </c>
      <c r="F12" s="23">
        <v>10</v>
      </c>
      <c r="G12" s="22"/>
    </row>
    <row r="13" spans="1:7" ht="24" customHeight="1">
      <c r="A13" s="20">
        <v>10</v>
      </c>
      <c r="B13" s="21" t="s">
        <v>23</v>
      </c>
      <c r="C13" s="191" t="s">
        <v>1071</v>
      </c>
      <c r="D13" s="20" t="s">
        <v>209</v>
      </c>
      <c r="E13" s="22" t="s">
        <v>217</v>
      </c>
      <c r="F13" s="23">
        <v>55</v>
      </c>
      <c r="G13" s="22"/>
    </row>
    <row r="14" spans="1:7" ht="24" customHeight="1">
      <c r="A14" s="20">
        <v>11</v>
      </c>
      <c r="B14" s="21" t="s">
        <v>23</v>
      </c>
      <c r="C14" s="191" t="s">
        <v>1071</v>
      </c>
      <c r="D14" s="20" t="s">
        <v>209</v>
      </c>
      <c r="E14" s="22" t="s">
        <v>218</v>
      </c>
      <c r="F14" s="23">
        <v>10</v>
      </c>
      <c r="G14" s="22"/>
    </row>
    <row r="15" spans="1:7" ht="24" customHeight="1">
      <c r="A15" s="20">
        <v>12</v>
      </c>
      <c r="B15" s="21" t="s">
        <v>23</v>
      </c>
      <c r="C15" s="191" t="s">
        <v>1071</v>
      </c>
      <c r="D15" s="17" t="s">
        <v>219</v>
      </c>
      <c r="E15" s="36" t="s">
        <v>220</v>
      </c>
      <c r="F15" s="37">
        <f>SUM(F4:F14)</f>
        <v>281</v>
      </c>
      <c r="G15" s="52"/>
    </row>
    <row r="16" spans="1:7" ht="24" customHeight="1">
      <c r="A16" s="20">
        <v>13</v>
      </c>
      <c r="B16" s="21" t="s">
        <v>23</v>
      </c>
      <c r="C16" s="191" t="s">
        <v>1071</v>
      </c>
      <c r="D16" s="20" t="s">
        <v>221</v>
      </c>
      <c r="E16" s="22" t="s">
        <v>222</v>
      </c>
      <c r="F16" s="23">
        <v>14</v>
      </c>
      <c r="G16" s="22"/>
    </row>
    <row r="17" spans="1:7" ht="24" customHeight="1">
      <c r="A17" s="20">
        <v>14</v>
      </c>
      <c r="B17" s="21" t="s">
        <v>23</v>
      </c>
      <c r="C17" s="191" t="s">
        <v>1071</v>
      </c>
      <c r="D17" s="20" t="s">
        <v>221</v>
      </c>
      <c r="E17" s="22" t="s">
        <v>293</v>
      </c>
      <c r="F17" s="23">
        <v>22</v>
      </c>
      <c r="G17" s="22"/>
    </row>
    <row r="18" spans="1:7" ht="24" customHeight="1">
      <c r="A18" s="20">
        <v>15</v>
      </c>
      <c r="B18" s="21" t="s">
        <v>23</v>
      </c>
      <c r="C18" s="191" t="s">
        <v>1071</v>
      </c>
      <c r="D18" s="20" t="s">
        <v>221</v>
      </c>
      <c r="E18" s="22" t="s">
        <v>224</v>
      </c>
      <c r="F18" s="23">
        <v>9</v>
      </c>
      <c r="G18" s="22"/>
    </row>
    <row r="19" spans="1:7" ht="24" customHeight="1">
      <c r="A19" s="20">
        <v>16</v>
      </c>
      <c r="B19" s="21" t="s">
        <v>23</v>
      </c>
      <c r="C19" s="191" t="s">
        <v>1071</v>
      </c>
      <c r="D19" s="20" t="s">
        <v>221</v>
      </c>
      <c r="E19" s="22" t="s">
        <v>462</v>
      </c>
      <c r="F19" s="22">
        <v>12</v>
      </c>
      <c r="G19" s="22"/>
    </row>
    <row r="20" spans="1:7" ht="24" customHeight="1">
      <c r="A20" s="20">
        <v>17</v>
      </c>
      <c r="B20" s="21" t="s">
        <v>23</v>
      </c>
      <c r="C20" s="191" t="s">
        <v>1071</v>
      </c>
      <c r="D20" s="20" t="s">
        <v>221</v>
      </c>
      <c r="E20" s="22" t="s">
        <v>982</v>
      </c>
      <c r="F20" s="23">
        <v>12</v>
      </c>
      <c r="G20" s="22"/>
    </row>
    <row r="21" spans="1:7" ht="24" customHeight="1">
      <c r="A21" s="20">
        <v>18</v>
      </c>
      <c r="B21" s="21" t="s">
        <v>23</v>
      </c>
      <c r="C21" s="191" t="s">
        <v>1071</v>
      </c>
      <c r="D21" s="20" t="s">
        <v>221</v>
      </c>
      <c r="E21" s="22" t="s">
        <v>225</v>
      </c>
      <c r="F21" s="23">
        <v>20</v>
      </c>
      <c r="G21" s="22"/>
    </row>
    <row r="22" spans="1:7" ht="24" customHeight="1">
      <c r="A22" s="20">
        <v>19</v>
      </c>
      <c r="B22" s="21" t="s">
        <v>23</v>
      </c>
      <c r="C22" s="191" t="s">
        <v>1071</v>
      </c>
      <c r="D22" s="20" t="s">
        <v>221</v>
      </c>
      <c r="E22" s="22" t="s">
        <v>226</v>
      </c>
      <c r="F22" s="23">
        <v>22</v>
      </c>
      <c r="G22" s="22"/>
    </row>
    <row r="23" spans="1:7" ht="24" customHeight="1">
      <c r="A23" s="20">
        <v>20</v>
      </c>
      <c r="B23" s="21" t="s">
        <v>23</v>
      </c>
      <c r="C23" s="191" t="s">
        <v>1071</v>
      </c>
      <c r="D23" s="20" t="s">
        <v>221</v>
      </c>
      <c r="E23" s="22" t="s">
        <v>227</v>
      </c>
      <c r="F23" s="23">
        <v>20</v>
      </c>
      <c r="G23" s="22"/>
    </row>
    <row r="24" spans="1:7" ht="24" customHeight="1">
      <c r="A24" s="20">
        <v>21</v>
      </c>
      <c r="B24" s="21" t="s">
        <v>23</v>
      </c>
      <c r="C24" s="191" t="s">
        <v>1071</v>
      </c>
      <c r="D24" s="17" t="s">
        <v>219</v>
      </c>
      <c r="E24" s="36" t="s">
        <v>228</v>
      </c>
      <c r="F24" s="37">
        <f>SUM(F16:F23)</f>
        <v>131</v>
      </c>
      <c r="G24" s="52"/>
    </row>
    <row r="25" spans="1:7" ht="24" customHeight="1">
      <c r="A25" s="20">
        <v>22</v>
      </c>
      <c r="B25" s="21" t="s">
        <v>23</v>
      </c>
      <c r="C25" s="191" t="s">
        <v>1071</v>
      </c>
      <c r="D25" s="20" t="s">
        <v>229</v>
      </c>
      <c r="E25" s="22" t="s">
        <v>230</v>
      </c>
      <c r="F25" s="23">
        <v>14</v>
      </c>
      <c r="G25" s="22"/>
    </row>
    <row r="26" spans="1:7" ht="24" customHeight="1">
      <c r="A26" s="20">
        <v>23</v>
      </c>
      <c r="B26" s="21" t="s">
        <v>23</v>
      </c>
      <c r="C26" s="191" t="s">
        <v>1071</v>
      </c>
      <c r="D26" s="20" t="s">
        <v>229</v>
      </c>
      <c r="E26" s="22" t="s">
        <v>295</v>
      </c>
      <c r="F26" s="23">
        <v>32</v>
      </c>
      <c r="G26" s="22"/>
    </row>
    <row r="27" spans="1:7" ht="24" customHeight="1">
      <c r="A27" s="20">
        <v>24</v>
      </c>
      <c r="B27" s="21" t="s">
        <v>23</v>
      </c>
      <c r="C27" s="191" t="s">
        <v>1071</v>
      </c>
      <c r="D27" s="20" t="s">
        <v>229</v>
      </c>
      <c r="E27" s="22" t="s">
        <v>232</v>
      </c>
      <c r="F27" s="23">
        <v>18</v>
      </c>
      <c r="G27" s="22"/>
    </row>
    <row r="28" spans="1:7" ht="24" customHeight="1">
      <c r="A28" s="20">
        <v>25</v>
      </c>
      <c r="B28" s="21" t="s">
        <v>23</v>
      </c>
      <c r="C28" s="191" t="s">
        <v>1071</v>
      </c>
      <c r="D28" s="20" t="s">
        <v>229</v>
      </c>
      <c r="E28" s="22" t="s">
        <v>385</v>
      </c>
      <c r="F28" s="22">
        <v>18</v>
      </c>
      <c r="G28" s="22"/>
    </row>
    <row r="29" spans="1:7" ht="24" customHeight="1">
      <c r="A29" s="20">
        <v>26</v>
      </c>
      <c r="B29" s="21" t="s">
        <v>23</v>
      </c>
      <c r="C29" s="191" t="s">
        <v>1071</v>
      </c>
      <c r="D29" s="20" t="s">
        <v>229</v>
      </c>
      <c r="E29" s="22" t="s">
        <v>233</v>
      </c>
      <c r="F29" s="23">
        <v>25</v>
      </c>
      <c r="G29" s="22"/>
    </row>
    <row r="30" spans="1:7" ht="24" customHeight="1">
      <c r="A30" s="20">
        <v>27</v>
      </c>
      <c r="B30" s="21" t="s">
        <v>23</v>
      </c>
      <c r="C30" s="191" t="s">
        <v>1071</v>
      </c>
      <c r="D30" s="20" t="s">
        <v>229</v>
      </c>
      <c r="E30" s="22" t="s">
        <v>234</v>
      </c>
      <c r="F30" s="23">
        <v>19</v>
      </c>
      <c r="G30" s="22"/>
    </row>
    <row r="31" spans="1:7" ht="24" customHeight="1">
      <c r="A31" s="20">
        <v>28</v>
      </c>
      <c r="B31" s="21" t="s">
        <v>23</v>
      </c>
      <c r="C31" s="191" t="s">
        <v>1071</v>
      </c>
      <c r="D31" s="20" t="s">
        <v>229</v>
      </c>
      <c r="E31" s="22" t="s">
        <v>235</v>
      </c>
      <c r="F31" s="23">
        <v>10</v>
      </c>
      <c r="G31" s="22"/>
    </row>
    <row r="32" spans="1:7" ht="24" customHeight="1">
      <c r="A32" s="20">
        <v>29</v>
      </c>
      <c r="B32" s="21" t="s">
        <v>23</v>
      </c>
      <c r="C32" s="191" t="s">
        <v>1071</v>
      </c>
      <c r="D32" s="20" t="s">
        <v>229</v>
      </c>
      <c r="E32" s="43" t="s">
        <v>1002</v>
      </c>
      <c r="F32" s="23">
        <v>12</v>
      </c>
      <c r="G32" s="22"/>
    </row>
    <row r="33" spans="1:7" ht="24" customHeight="1">
      <c r="A33" s="20">
        <v>30</v>
      </c>
      <c r="B33" s="21" t="s">
        <v>23</v>
      </c>
      <c r="C33" s="191" t="s">
        <v>1071</v>
      </c>
      <c r="D33" s="20" t="s">
        <v>229</v>
      </c>
      <c r="E33" s="22" t="s">
        <v>984</v>
      </c>
      <c r="F33" s="23">
        <v>8</v>
      </c>
      <c r="G33" s="22"/>
    </row>
    <row r="34" spans="1:7" ht="24" customHeight="1">
      <c r="A34" s="20">
        <v>31</v>
      </c>
      <c r="B34" s="21" t="s">
        <v>23</v>
      </c>
      <c r="C34" s="191" t="s">
        <v>1071</v>
      </c>
      <c r="D34" s="20" t="s">
        <v>229</v>
      </c>
      <c r="E34" s="22" t="s">
        <v>297</v>
      </c>
      <c r="F34" s="23">
        <v>8</v>
      </c>
      <c r="G34" s="22"/>
    </row>
    <row r="35" spans="1:7" ht="24" customHeight="1">
      <c r="A35" s="20">
        <v>32</v>
      </c>
      <c r="B35" s="21" t="s">
        <v>23</v>
      </c>
      <c r="C35" s="191" t="s">
        <v>1071</v>
      </c>
      <c r="D35" s="17" t="s">
        <v>219</v>
      </c>
      <c r="E35" s="36" t="s">
        <v>238</v>
      </c>
      <c r="F35" s="37">
        <f>SUM(F25:F34)</f>
        <v>164</v>
      </c>
      <c r="G35" s="52"/>
    </row>
    <row r="36" spans="1:7" ht="24" customHeight="1">
      <c r="A36" s="20">
        <v>33</v>
      </c>
      <c r="B36" s="21" t="s">
        <v>23</v>
      </c>
      <c r="C36" s="191" t="s">
        <v>1071</v>
      </c>
      <c r="D36" s="20" t="s">
        <v>239</v>
      </c>
      <c r="E36" s="22" t="s">
        <v>985</v>
      </c>
      <c r="F36" s="23">
        <v>80</v>
      </c>
      <c r="G36" s="22"/>
    </row>
    <row r="37" spans="1:7" ht="24" customHeight="1">
      <c r="A37" s="20">
        <v>34</v>
      </c>
      <c r="B37" s="21" t="s">
        <v>23</v>
      </c>
      <c r="C37" s="191" t="s">
        <v>1071</v>
      </c>
      <c r="D37" s="20" t="s">
        <v>239</v>
      </c>
      <c r="E37" s="22" t="s">
        <v>241</v>
      </c>
      <c r="F37" s="23">
        <v>60</v>
      </c>
      <c r="G37" s="22"/>
    </row>
    <row r="38" spans="1:7" ht="24" customHeight="1">
      <c r="A38" s="20">
        <v>35</v>
      </c>
      <c r="B38" s="21" t="s">
        <v>23</v>
      </c>
      <c r="C38" s="191" t="s">
        <v>1071</v>
      </c>
      <c r="D38" s="17" t="s">
        <v>219</v>
      </c>
      <c r="E38" s="53" t="s">
        <v>242</v>
      </c>
      <c r="F38" s="37">
        <f>SUM(F36:F37)</f>
        <v>140</v>
      </c>
      <c r="G38" s="52"/>
    </row>
    <row r="39" spans="1:7" ht="24" customHeight="1">
      <c r="A39" s="20">
        <v>36</v>
      </c>
      <c r="B39" s="21" t="s">
        <v>23</v>
      </c>
      <c r="C39" s="191" t="s">
        <v>1071</v>
      </c>
      <c r="D39" s="20" t="s">
        <v>259</v>
      </c>
      <c r="E39" s="43" t="s">
        <v>986</v>
      </c>
      <c r="F39" s="27">
        <v>55</v>
      </c>
      <c r="G39" s="20" t="s">
        <v>987</v>
      </c>
    </row>
    <row r="40" spans="1:7" ht="24" customHeight="1">
      <c r="A40" s="20">
        <v>37</v>
      </c>
      <c r="B40" s="21" t="s">
        <v>23</v>
      </c>
      <c r="C40" s="191" t="s">
        <v>1071</v>
      </c>
      <c r="D40" s="20" t="s">
        <v>259</v>
      </c>
      <c r="E40" s="43" t="s">
        <v>988</v>
      </c>
      <c r="F40" s="23">
        <v>660</v>
      </c>
      <c r="G40" s="20" t="s">
        <v>987</v>
      </c>
    </row>
    <row r="41" spans="1:7" ht="24" customHeight="1">
      <c r="A41" s="20">
        <v>38</v>
      </c>
      <c r="B41" s="21" t="s">
        <v>23</v>
      </c>
      <c r="C41" s="191" t="s">
        <v>1071</v>
      </c>
      <c r="D41" s="17" t="s">
        <v>219</v>
      </c>
      <c r="E41" s="36" t="s">
        <v>300</v>
      </c>
      <c r="F41" s="37">
        <f>F40+F39</f>
        <v>715</v>
      </c>
      <c r="G41" s="52"/>
    </row>
    <row r="42" spans="1:7" ht="24" customHeight="1">
      <c r="A42" s="20">
        <v>39</v>
      </c>
      <c r="B42" s="21" t="s">
        <v>23</v>
      </c>
      <c r="C42" s="191" t="s">
        <v>1071</v>
      </c>
      <c r="D42" s="20" t="s">
        <v>243</v>
      </c>
      <c r="E42" s="43" t="s">
        <v>277</v>
      </c>
      <c r="F42" s="23">
        <v>10.199999999999999</v>
      </c>
      <c r="G42" s="22"/>
    </row>
    <row r="43" spans="1:7" ht="24" customHeight="1">
      <c r="A43" s="20">
        <v>40</v>
      </c>
      <c r="B43" s="21" t="s">
        <v>23</v>
      </c>
      <c r="C43" s="191" t="s">
        <v>1071</v>
      </c>
      <c r="D43" s="20" t="s">
        <v>243</v>
      </c>
      <c r="E43" s="43" t="s">
        <v>278</v>
      </c>
      <c r="F43" s="23">
        <v>10.199999999999999</v>
      </c>
      <c r="G43" s="22"/>
    </row>
    <row r="44" spans="1:7" ht="24" customHeight="1">
      <c r="A44" s="20">
        <v>41</v>
      </c>
      <c r="B44" s="21" t="s">
        <v>23</v>
      </c>
      <c r="C44" s="191" t="s">
        <v>1071</v>
      </c>
      <c r="D44" s="20" t="s">
        <v>243</v>
      </c>
      <c r="E44" s="43" t="s">
        <v>279</v>
      </c>
      <c r="F44" s="23">
        <v>17.16</v>
      </c>
      <c r="G44" s="22"/>
    </row>
    <row r="45" spans="1:7" ht="24" customHeight="1">
      <c r="A45" s="20">
        <v>42</v>
      </c>
      <c r="B45" s="21" t="s">
        <v>23</v>
      </c>
      <c r="C45" s="191" t="s">
        <v>1071</v>
      </c>
      <c r="D45" s="20" t="s">
        <v>243</v>
      </c>
      <c r="E45" s="43" t="s">
        <v>247</v>
      </c>
      <c r="F45" s="23">
        <v>2</v>
      </c>
      <c r="G45" s="22"/>
    </row>
    <row r="46" spans="1:7" ht="24" customHeight="1">
      <c r="A46" s="20">
        <v>43</v>
      </c>
      <c r="B46" s="21" t="s">
        <v>23</v>
      </c>
      <c r="C46" s="191" t="s">
        <v>1071</v>
      </c>
      <c r="D46" s="17" t="s">
        <v>219</v>
      </c>
      <c r="E46" s="194" t="s">
        <v>1072</v>
      </c>
      <c r="F46" s="37">
        <f>SUM(F42:F45)</f>
        <v>39.56</v>
      </c>
      <c r="G46" s="52"/>
    </row>
    <row r="47" spans="1:7" ht="24" customHeight="1">
      <c r="A47" s="20">
        <v>44</v>
      </c>
      <c r="B47" s="21" t="s">
        <v>23</v>
      </c>
      <c r="C47" s="191" t="s">
        <v>1071</v>
      </c>
      <c r="D47" s="20" t="s">
        <v>256</v>
      </c>
      <c r="E47" s="22" t="s">
        <v>286</v>
      </c>
      <c r="F47" s="23">
        <v>10</v>
      </c>
      <c r="G47" s="22"/>
    </row>
    <row r="48" spans="1:7" ht="24" customHeight="1">
      <c r="A48" s="20">
        <v>45</v>
      </c>
      <c r="B48" s="21" t="s">
        <v>23</v>
      </c>
      <c r="C48" s="191" t="s">
        <v>1071</v>
      </c>
      <c r="D48" s="17" t="s">
        <v>219</v>
      </c>
      <c r="E48" s="36" t="s">
        <v>992</v>
      </c>
      <c r="F48" s="37">
        <f>SUM(F47:F47)</f>
        <v>10</v>
      </c>
      <c r="G48" s="52"/>
    </row>
    <row r="49" spans="1:7" ht="24" customHeight="1">
      <c r="A49" s="20">
        <v>46</v>
      </c>
      <c r="B49" s="21" t="s">
        <v>23</v>
      </c>
      <c r="C49" s="191" t="s">
        <v>1071</v>
      </c>
      <c r="D49" s="20" t="s">
        <v>249</v>
      </c>
      <c r="E49" s="54" t="s">
        <v>1003</v>
      </c>
      <c r="F49" s="23">
        <v>15</v>
      </c>
      <c r="G49" s="22"/>
    </row>
    <row r="50" spans="1:7" ht="24" customHeight="1">
      <c r="A50" s="20">
        <v>47</v>
      </c>
      <c r="B50" s="21" t="s">
        <v>23</v>
      </c>
      <c r="C50" s="191" t="s">
        <v>1071</v>
      </c>
      <c r="D50" s="20" t="s">
        <v>249</v>
      </c>
      <c r="E50" s="39" t="s">
        <v>943</v>
      </c>
      <c r="F50" s="23">
        <v>42</v>
      </c>
      <c r="G50" s="22"/>
    </row>
    <row r="51" spans="1:7" ht="24" customHeight="1">
      <c r="A51" s="20">
        <v>48</v>
      </c>
      <c r="B51" s="21" t="s">
        <v>23</v>
      </c>
      <c r="C51" s="191" t="s">
        <v>1071</v>
      </c>
      <c r="D51" s="20" t="s">
        <v>249</v>
      </c>
      <c r="E51" s="39" t="s">
        <v>253</v>
      </c>
      <c r="F51" s="23">
        <v>7</v>
      </c>
      <c r="G51" s="22"/>
    </row>
    <row r="52" spans="1:7" ht="33" customHeight="1">
      <c r="A52" s="20">
        <v>49</v>
      </c>
      <c r="B52" s="21" t="s">
        <v>23</v>
      </c>
      <c r="C52" s="191" t="s">
        <v>1071</v>
      </c>
      <c r="D52" s="20" t="s">
        <v>249</v>
      </c>
      <c r="E52" s="55" t="s">
        <v>1004</v>
      </c>
      <c r="F52" s="23">
        <v>45</v>
      </c>
      <c r="G52" s="22"/>
    </row>
    <row r="53" spans="1:7" ht="34.049999999999997" customHeight="1">
      <c r="A53" s="20">
        <v>50</v>
      </c>
      <c r="B53" s="21" t="s">
        <v>23</v>
      </c>
      <c r="C53" s="191" t="s">
        <v>1071</v>
      </c>
      <c r="D53" s="20" t="s">
        <v>249</v>
      </c>
      <c r="E53" s="56" t="s">
        <v>1005</v>
      </c>
      <c r="F53" s="23">
        <v>98</v>
      </c>
      <c r="G53" s="22"/>
    </row>
    <row r="54" spans="1:7" ht="34.049999999999997" customHeight="1">
      <c r="A54" s="20">
        <v>51</v>
      </c>
      <c r="B54" s="21" t="s">
        <v>23</v>
      </c>
      <c r="C54" s="191" t="s">
        <v>1071</v>
      </c>
      <c r="D54" s="20" t="s">
        <v>249</v>
      </c>
      <c r="E54" s="55" t="s">
        <v>1006</v>
      </c>
      <c r="F54" s="23">
        <v>20</v>
      </c>
      <c r="G54" s="22"/>
    </row>
    <row r="55" spans="1:7" ht="39" customHeight="1">
      <c r="A55" s="20">
        <v>52</v>
      </c>
      <c r="B55" s="21" t="s">
        <v>23</v>
      </c>
      <c r="C55" s="191" t="s">
        <v>1071</v>
      </c>
      <c r="D55" s="20" t="s">
        <v>249</v>
      </c>
      <c r="E55" s="55" t="s">
        <v>1007</v>
      </c>
      <c r="F55" s="23">
        <v>70</v>
      </c>
      <c r="G55" s="22"/>
    </row>
    <row r="56" spans="1:7" ht="24" customHeight="1">
      <c r="A56" s="20">
        <v>53</v>
      </c>
      <c r="B56" s="21" t="s">
        <v>23</v>
      </c>
      <c r="C56" s="191" t="s">
        <v>1071</v>
      </c>
      <c r="D56" s="17" t="s">
        <v>219</v>
      </c>
      <c r="E56" s="36" t="s">
        <v>255</v>
      </c>
      <c r="F56" s="37">
        <f>SUM(F49:F55)</f>
        <v>297</v>
      </c>
      <c r="G56" s="52"/>
    </row>
    <row r="57" spans="1:7" ht="24" customHeight="1">
      <c r="A57" s="20">
        <v>54</v>
      </c>
      <c r="B57" s="21" t="s">
        <v>23</v>
      </c>
      <c r="C57" s="191" t="s">
        <v>1071</v>
      </c>
      <c r="D57" s="20" t="s">
        <v>262</v>
      </c>
      <c r="E57" s="22" t="s">
        <v>263</v>
      </c>
      <c r="F57" s="23">
        <v>85</v>
      </c>
      <c r="G57" s="22"/>
    </row>
    <row r="58" spans="1:7" ht="24" customHeight="1">
      <c r="A58" s="20">
        <v>55</v>
      </c>
      <c r="B58" s="21" t="s">
        <v>23</v>
      </c>
      <c r="C58" s="191" t="s">
        <v>1071</v>
      </c>
      <c r="D58" s="20" t="s">
        <v>262</v>
      </c>
      <c r="E58" s="22" t="s">
        <v>999</v>
      </c>
      <c r="F58" s="22">
        <v>20</v>
      </c>
      <c r="G58" s="22"/>
    </row>
    <row r="59" spans="1:7" ht="24" customHeight="1">
      <c r="A59" s="20">
        <v>56</v>
      </c>
      <c r="B59" s="21" t="s">
        <v>23</v>
      </c>
      <c r="C59" s="191" t="s">
        <v>1071</v>
      </c>
      <c r="D59" s="20" t="s">
        <v>262</v>
      </c>
      <c r="E59" s="22" t="s">
        <v>264</v>
      </c>
      <c r="F59" s="23">
        <v>40</v>
      </c>
      <c r="G59" s="22"/>
    </row>
    <row r="60" spans="1:7" ht="24" customHeight="1">
      <c r="A60" s="20">
        <v>57</v>
      </c>
      <c r="B60" s="21" t="s">
        <v>23</v>
      </c>
      <c r="C60" s="191" t="s">
        <v>1071</v>
      </c>
      <c r="D60" s="20" t="s">
        <v>262</v>
      </c>
      <c r="E60" s="22" t="s">
        <v>265</v>
      </c>
      <c r="F60" s="23">
        <v>20</v>
      </c>
      <c r="G60" s="22"/>
    </row>
    <row r="61" spans="1:7" ht="24" customHeight="1">
      <c r="A61" s="20">
        <v>58</v>
      </c>
      <c r="B61" s="21" t="s">
        <v>23</v>
      </c>
      <c r="C61" s="191" t="s">
        <v>1071</v>
      </c>
      <c r="D61" s="17" t="s">
        <v>219</v>
      </c>
      <c r="E61" s="36" t="s">
        <v>266</v>
      </c>
      <c r="F61" s="37">
        <f>SUM(F57:F60)</f>
        <v>165</v>
      </c>
      <c r="G61" s="52"/>
    </row>
    <row r="62" spans="1:7" ht="24" customHeight="1">
      <c r="A62" s="20">
        <v>59</v>
      </c>
      <c r="B62" s="21" t="s">
        <v>23</v>
      </c>
      <c r="C62" s="191" t="s">
        <v>1071</v>
      </c>
      <c r="D62" s="17" t="s">
        <v>267</v>
      </c>
      <c r="E62" s="36" t="s">
        <v>1008</v>
      </c>
      <c r="F62" s="37">
        <v>1942.56</v>
      </c>
      <c r="G62" s="52"/>
    </row>
    <row r="63" spans="1:7" ht="24" customHeight="1">
      <c r="A63" s="244" t="s">
        <v>1073</v>
      </c>
      <c r="B63" s="232"/>
      <c r="C63" s="232"/>
      <c r="D63" s="232"/>
      <c r="E63" s="232"/>
      <c r="F63" s="232"/>
      <c r="G63" s="233"/>
    </row>
  </sheetData>
  <autoFilter ref="A3:G63" xr:uid="{00000000-0009-0000-0000-000044000000}"/>
  <mergeCells count="3">
    <mergeCell ref="A1:G1"/>
    <mergeCell ref="A2:G2"/>
    <mergeCell ref="A63:G63"/>
  </mergeCells>
  <phoneticPr fontId="23" type="noConversion"/>
  <pageMargins left="0.31496062992126" right="0.196850393700787" top="0.28000000000000003" bottom="0.32" header="0.28999999999999998" footer="0.16"/>
  <pageSetup paperSize="9" orientation="portrait" r:id="rId1"/>
  <headerFooter>
    <oddFooter>&amp;C&amp;8第 &amp;P 页，共 &amp;N 页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5" tint="-0.249977111117893"/>
  </sheetPr>
  <dimension ref="A1:G75"/>
  <sheetViews>
    <sheetView view="pageBreakPreview" topLeftCell="A61" zoomScale="85" zoomScaleNormal="145" zoomScaleSheetLayoutView="85" workbookViewId="0">
      <selection activeCell="E12" sqref="E12"/>
    </sheetView>
  </sheetViews>
  <sheetFormatPr defaultColWidth="9.796875" defaultRowHeight="15.75"/>
  <cols>
    <col min="1" max="1" width="4.46484375" style="31" customWidth="1"/>
    <col min="2" max="2" width="9.46484375" style="32" customWidth="1"/>
    <col min="3" max="3" width="14.06640625" style="31" customWidth="1"/>
    <col min="4" max="4" width="9.73046875" style="31" customWidth="1"/>
    <col min="5" max="5" width="45.796875" style="13" customWidth="1"/>
    <col min="6" max="6" width="8.33203125" style="13" customWidth="1"/>
    <col min="7" max="7" width="8.46484375" style="13" customWidth="1"/>
    <col min="8" max="16384" width="9.796875" style="16"/>
  </cols>
  <sheetData>
    <row r="1" spans="1:7" ht="24" customHeight="1">
      <c r="A1" s="229" t="s">
        <v>1009</v>
      </c>
      <c r="B1" s="229"/>
      <c r="C1" s="229"/>
      <c r="D1" s="229"/>
      <c r="E1" s="229"/>
      <c r="F1" s="243"/>
      <c r="G1" s="243"/>
    </row>
    <row r="2" spans="1:7" ht="24" customHeight="1">
      <c r="A2" s="245" t="s">
        <v>1070</v>
      </c>
      <c r="B2" s="230"/>
      <c r="C2" s="230"/>
      <c r="D2" s="230"/>
      <c r="E2" s="230"/>
      <c r="F2" s="230"/>
      <c r="G2" s="230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32</v>
      </c>
      <c r="C4" s="191" t="s">
        <v>1069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32</v>
      </c>
      <c r="C5" s="191" t="s">
        <v>1069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32</v>
      </c>
      <c r="C6" s="191" t="s">
        <v>1069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32</v>
      </c>
      <c r="C7" s="191" t="s">
        <v>1069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32</v>
      </c>
      <c r="C8" s="191" t="s">
        <v>1069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32</v>
      </c>
      <c r="C9" s="191" t="s">
        <v>1069</v>
      </c>
      <c r="D9" s="20" t="s">
        <v>209</v>
      </c>
      <c r="E9" s="22" t="s">
        <v>980</v>
      </c>
      <c r="F9" s="22">
        <v>20</v>
      </c>
      <c r="G9" s="22"/>
    </row>
    <row r="10" spans="1:7" ht="24" customHeight="1">
      <c r="A10" s="20">
        <v>7</v>
      </c>
      <c r="B10" s="21" t="s">
        <v>32</v>
      </c>
      <c r="C10" s="191" t="s">
        <v>1069</v>
      </c>
      <c r="D10" s="20" t="s">
        <v>209</v>
      </c>
      <c r="E10" s="22" t="s">
        <v>216</v>
      </c>
      <c r="F10" s="22">
        <v>40</v>
      </c>
      <c r="G10" s="22"/>
    </row>
    <row r="11" spans="1:7" ht="24" customHeight="1">
      <c r="A11" s="20">
        <v>8</v>
      </c>
      <c r="B11" s="21" t="s">
        <v>32</v>
      </c>
      <c r="C11" s="191" t="s">
        <v>1069</v>
      </c>
      <c r="D11" s="20" t="s">
        <v>209</v>
      </c>
      <c r="E11" s="22" t="s">
        <v>981</v>
      </c>
      <c r="F11" s="22">
        <v>10</v>
      </c>
      <c r="G11" s="22"/>
    </row>
    <row r="12" spans="1:7" ht="24" customHeight="1">
      <c r="A12" s="20">
        <v>9</v>
      </c>
      <c r="B12" s="21" t="s">
        <v>32</v>
      </c>
      <c r="C12" s="191" t="s">
        <v>1069</v>
      </c>
      <c r="D12" s="20" t="s">
        <v>209</v>
      </c>
      <c r="E12" s="22" t="s">
        <v>292</v>
      </c>
      <c r="F12" s="22">
        <v>18</v>
      </c>
      <c r="G12" s="22"/>
    </row>
    <row r="13" spans="1:7" ht="24" customHeight="1">
      <c r="A13" s="20">
        <v>10</v>
      </c>
      <c r="B13" s="21" t="s">
        <v>32</v>
      </c>
      <c r="C13" s="191" t="s">
        <v>1069</v>
      </c>
      <c r="D13" s="20" t="s">
        <v>209</v>
      </c>
      <c r="E13" s="22" t="s">
        <v>217</v>
      </c>
      <c r="F13" s="22">
        <v>55</v>
      </c>
      <c r="G13" s="22"/>
    </row>
    <row r="14" spans="1:7" ht="24" customHeight="1">
      <c r="A14" s="20">
        <v>11</v>
      </c>
      <c r="B14" s="21" t="s">
        <v>32</v>
      </c>
      <c r="C14" s="191" t="s">
        <v>1069</v>
      </c>
      <c r="D14" s="20" t="s">
        <v>209</v>
      </c>
      <c r="E14" s="22" t="s">
        <v>218</v>
      </c>
      <c r="F14" s="22">
        <v>10</v>
      </c>
      <c r="G14" s="22"/>
    </row>
    <row r="15" spans="1:7" ht="24" customHeight="1">
      <c r="A15" s="20">
        <v>12</v>
      </c>
      <c r="B15" s="21" t="s">
        <v>32</v>
      </c>
      <c r="C15" s="191" t="s">
        <v>1069</v>
      </c>
      <c r="D15" s="17" t="s">
        <v>219</v>
      </c>
      <c r="E15" s="36" t="s">
        <v>220</v>
      </c>
      <c r="F15" s="36">
        <f>SUM(F4:F14)</f>
        <v>281</v>
      </c>
      <c r="G15" s="36"/>
    </row>
    <row r="16" spans="1:7" ht="24" customHeight="1">
      <c r="A16" s="20">
        <v>13</v>
      </c>
      <c r="B16" s="21" t="s">
        <v>32</v>
      </c>
      <c r="C16" s="191" t="s">
        <v>1069</v>
      </c>
      <c r="D16" s="20" t="s">
        <v>401</v>
      </c>
      <c r="E16" s="22" t="s">
        <v>402</v>
      </c>
      <c r="F16" s="22">
        <v>34</v>
      </c>
      <c r="G16" s="22"/>
    </row>
    <row r="17" spans="1:7" ht="24" customHeight="1">
      <c r="A17" s="20">
        <v>14</v>
      </c>
      <c r="B17" s="21" t="s">
        <v>32</v>
      </c>
      <c r="C17" s="191" t="s">
        <v>1069</v>
      </c>
      <c r="D17" s="20" t="s">
        <v>401</v>
      </c>
      <c r="E17" s="22" t="s">
        <v>403</v>
      </c>
      <c r="F17" s="22">
        <v>34</v>
      </c>
      <c r="G17" s="22"/>
    </row>
    <row r="18" spans="1:7" ht="24" customHeight="1">
      <c r="A18" s="20">
        <v>15</v>
      </c>
      <c r="B18" s="21" t="s">
        <v>32</v>
      </c>
      <c r="C18" s="191" t="s">
        <v>1069</v>
      </c>
      <c r="D18" s="20" t="s">
        <v>401</v>
      </c>
      <c r="E18" s="22" t="s">
        <v>404</v>
      </c>
      <c r="F18" s="22">
        <v>140</v>
      </c>
      <c r="G18" s="22"/>
    </row>
    <row r="19" spans="1:7" ht="24" customHeight="1">
      <c r="A19" s="20">
        <v>16</v>
      </c>
      <c r="B19" s="21" t="s">
        <v>32</v>
      </c>
      <c r="C19" s="191" t="s">
        <v>1069</v>
      </c>
      <c r="D19" s="20" t="s">
        <v>401</v>
      </c>
      <c r="E19" s="22" t="s">
        <v>405</v>
      </c>
      <c r="F19" s="22">
        <v>60</v>
      </c>
      <c r="G19" s="22"/>
    </row>
    <row r="20" spans="1:7" ht="24" customHeight="1">
      <c r="A20" s="20">
        <v>17</v>
      </c>
      <c r="B20" s="21" t="s">
        <v>32</v>
      </c>
      <c r="C20" s="191" t="s">
        <v>1069</v>
      </c>
      <c r="D20" s="20" t="s">
        <v>401</v>
      </c>
      <c r="E20" s="22" t="s">
        <v>406</v>
      </c>
      <c r="F20" s="22">
        <v>20</v>
      </c>
      <c r="G20" s="22"/>
    </row>
    <row r="21" spans="1:7" ht="24" customHeight="1">
      <c r="A21" s="20">
        <v>18</v>
      </c>
      <c r="B21" s="21" t="s">
        <v>32</v>
      </c>
      <c r="C21" s="191" t="s">
        <v>1069</v>
      </c>
      <c r="D21" s="20" t="s">
        <v>401</v>
      </c>
      <c r="E21" s="22" t="s">
        <v>459</v>
      </c>
      <c r="F21" s="22">
        <v>200</v>
      </c>
      <c r="G21" s="22"/>
    </row>
    <row r="22" spans="1:7" ht="24" customHeight="1">
      <c r="A22" s="20">
        <v>19</v>
      </c>
      <c r="B22" s="21" t="s">
        <v>32</v>
      </c>
      <c r="C22" s="191" t="s">
        <v>1069</v>
      </c>
      <c r="D22" s="20" t="s">
        <v>401</v>
      </c>
      <c r="E22" s="22" t="s">
        <v>460</v>
      </c>
      <c r="F22" s="22">
        <v>16</v>
      </c>
      <c r="G22" s="22"/>
    </row>
    <row r="23" spans="1:7" ht="24" customHeight="1">
      <c r="A23" s="20">
        <v>20</v>
      </c>
      <c r="B23" s="21" t="s">
        <v>32</v>
      </c>
      <c r="C23" s="191" t="s">
        <v>1069</v>
      </c>
      <c r="D23" s="17" t="s">
        <v>219</v>
      </c>
      <c r="E23" s="36" t="s">
        <v>409</v>
      </c>
      <c r="F23" s="36">
        <f>SUM(F16:F22)</f>
        <v>504</v>
      </c>
      <c r="G23" s="36"/>
    </row>
    <row r="24" spans="1:7" ht="24" customHeight="1">
      <c r="A24" s="20">
        <v>21</v>
      </c>
      <c r="B24" s="21" t="s">
        <v>32</v>
      </c>
      <c r="C24" s="191" t="s">
        <v>1069</v>
      </c>
      <c r="D24" s="20" t="s">
        <v>221</v>
      </c>
      <c r="E24" s="22" t="s">
        <v>222</v>
      </c>
      <c r="F24" s="22">
        <v>14</v>
      </c>
      <c r="G24" s="22"/>
    </row>
    <row r="25" spans="1:7" ht="24" customHeight="1">
      <c r="A25" s="20">
        <v>22</v>
      </c>
      <c r="B25" s="21" t="s">
        <v>32</v>
      </c>
      <c r="C25" s="191" t="s">
        <v>1069</v>
      </c>
      <c r="D25" s="20" t="s">
        <v>221</v>
      </c>
      <c r="E25" s="22" t="s">
        <v>461</v>
      </c>
      <c r="F25" s="22">
        <v>22</v>
      </c>
      <c r="G25" s="22"/>
    </row>
    <row r="26" spans="1:7" ht="24" customHeight="1">
      <c r="A26" s="20">
        <v>23</v>
      </c>
      <c r="B26" s="21" t="s">
        <v>32</v>
      </c>
      <c r="C26" s="191" t="s">
        <v>1069</v>
      </c>
      <c r="D26" s="20" t="s">
        <v>221</v>
      </c>
      <c r="E26" s="22" t="s">
        <v>462</v>
      </c>
      <c r="F26" s="22">
        <v>12</v>
      </c>
      <c r="G26" s="22"/>
    </row>
    <row r="27" spans="1:7" ht="24" customHeight="1">
      <c r="A27" s="20">
        <v>24</v>
      </c>
      <c r="B27" s="21" t="s">
        <v>32</v>
      </c>
      <c r="C27" s="191" t="s">
        <v>1069</v>
      </c>
      <c r="D27" s="20" t="s">
        <v>221</v>
      </c>
      <c r="E27" s="22" t="s">
        <v>224</v>
      </c>
      <c r="F27" s="22">
        <v>9</v>
      </c>
      <c r="G27" s="22"/>
    </row>
    <row r="28" spans="1:7" ht="24" customHeight="1">
      <c r="A28" s="20">
        <v>25</v>
      </c>
      <c r="B28" s="21" t="s">
        <v>32</v>
      </c>
      <c r="C28" s="191" t="s">
        <v>1069</v>
      </c>
      <c r="D28" s="20" t="s">
        <v>221</v>
      </c>
      <c r="E28" s="22" t="s">
        <v>225</v>
      </c>
      <c r="F28" s="22">
        <v>20</v>
      </c>
      <c r="G28" s="22"/>
    </row>
    <row r="29" spans="1:7" ht="24" customHeight="1">
      <c r="A29" s="20">
        <v>26</v>
      </c>
      <c r="B29" s="21" t="s">
        <v>32</v>
      </c>
      <c r="C29" s="191" t="s">
        <v>1069</v>
      </c>
      <c r="D29" s="20" t="s">
        <v>221</v>
      </c>
      <c r="E29" s="22" t="s">
        <v>226</v>
      </c>
      <c r="F29" s="22">
        <v>22</v>
      </c>
      <c r="G29" s="22"/>
    </row>
    <row r="30" spans="1:7" ht="24" customHeight="1">
      <c r="A30" s="20">
        <v>27</v>
      </c>
      <c r="B30" s="21" t="s">
        <v>32</v>
      </c>
      <c r="C30" s="191" t="s">
        <v>1069</v>
      </c>
      <c r="D30" s="20" t="s">
        <v>221</v>
      </c>
      <c r="E30" s="22" t="s">
        <v>982</v>
      </c>
      <c r="F30" s="22">
        <v>12</v>
      </c>
      <c r="G30" s="22"/>
    </row>
    <row r="31" spans="1:7" ht="24" customHeight="1">
      <c r="A31" s="20">
        <v>28</v>
      </c>
      <c r="B31" s="21" t="s">
        <v>32</v>
      </c>
      <c r="C31" s="191" t="s">
        <v>1069</v>
      </c>
      <c r="D31" s="20" t="s">
        <v>221</v>
      </c>
      <c r="E31" s="22" t="s">
        <v>391</v>
      </c>
      <c r="F31" s="22">
        <v>20</v>
      </c>
      <c r="G31" s="22"/>
    </row>
    <row r="32" spans="1:7" ht="24" customHeight="1">
      <c r="A32" s="20">
        <v>29</v>
      </c>
      <c r="B32" s="21" t="s">
        <v>32</v>
      </c>
      <c r="C32" s="191" t="s">
        <v>1069</v>
      </c>
      <c r="D32" s="17" t="s">
        <v>219</v>
      </c>
      <c r="E32" s="36" t="s">
        <v>228</v>
      </c>
      <c r="F32" s="35">
        <f>SUM(F24:F31)</f>
        <v>131</v>
      </c>
      <c r="G32" s="36"/>
    </row>
    <row r="33" spans="1:7" ht="24" customHeight="1">
      <c r="A33" s="20">
        <v>30</v>
      </c>
      <c r="B33" s="21" t="s">
        <v>32</v>
      </c>
      <c r="C33" s="191" t="s">
        <v>1069</v>
      </c>
      <c r="D33" s="20" t="s">
        <v>229</v>
      </c>
      <c r="E33" s="22" t="s">
        <v>230</v>
      </c>
      <c r="F33" s="22">
        <v>14</v>
      </c>
      <c r="G33" s="22"/>
    </row>
    <row r="34" spans="1:7" ht="24" customHeight="1">
      <c r="A34" s="20">
        <v>31</v>
      </c>
      <c r="B34" s="21" t="s">
        <v>32</v>
      </c>
      <c r="C34" s="191" t="s">
        <v>1069</v>
      </c>
      <c r="D34" s="20" t="s">
        <v>229</v>
      </c>
      <c r="E34" s="22" t="s">
        <v>231</v>
      </c>
      <c r="F34" s="22">
        <v>45</v>
      </c>
      <c r="G34" s="22"/>
    </row>
    <row r="35" spans="1:7" ht="24" customHeight="1">
      <c r="A35" s="20">
        <v>32</v>
      </c>
      <c r="B35" s="21" t="s">
        <v>32</v>
      </c>
      <c r="C35" s="191" t="s">
        <v>1069</v>
      </c>
      <c r="D35" s="20" t="s">
        <v>229</v>
      </c>
      <c r="E35" s="22" t="s">
        <v>385</v>
      </c>
      <c r="F35" s="22">
        <v>18</v>
      </c>
      <c r="G35" s="22"/>
    </row>
    <row r="36" spans="1:7" ht="24" customHeight="1">
      <c r="A36" s="20">
        <v>33</v>
      </c>
      <c r="B36" s="21" t="s">
        <v>32</v>
      </c>
      <c r="C36" s="191" t="s">
        <v>1069</v>
      </c>
      <c r="D36" s="20" t="s">
        <v>229</v>
      </c>
      <c r="E36" s="22" t="s">
        <v>1010</v>
      </c>
      <c r="F36" s="22">
        <v>40</v>
      </c>
      <c r="G36" s="22"/>
    </row>
    <row r="37" spans="1:7" ht="24" customHeight="1">
      <c r="A37" s="20">
        <v>34</v>
      </c>
      <c r="B37" s="21" t="s">
        <v>32</v>
      </c>
      <c r="C37" s="191" t="s">
        <v>1069</v>
      </c>
      <c r="D37" s="20" t="s">
        <v>229</v>
      </c>
      <c r="E37" s="22" t="s">
        <v>315</v>
      </c>
      <c r="F37" s="22">
        <v>25</v>
      </c>
      <c r="G37" s="22"/>
    </row>
    <row r="38" spans="1:7" ht="24" customHeight="1">
      <c r="A38" s="20">
        <v>35</v>
      </c>
      <c r="B38" s="21" t="s">
        <v>32</v>
      </c>
      <c r="C38" s="191" t="s">
        <v>1069</v>
      </c>
      <c r="D38" s="20" t="s">
        <v>229</v>
      </c>
      <c r="E38" s="22" t="s">
        <v>463</v>
      </c>
      <c r="F38" s="22">
        <v>30</v>
      </c>
      <c r="G38" s="22"/>
    </row>
    <row r="39" spans="1:7" ht="24" customHeight="1">
      <c r="A39" s="20">
        <v>36</v>
      </c>
      <c r="B39" s="21" t="s">
        <v>32</v>
      </c>
      <c r="C39" s="191" t="s">
        <v>1069</v>
      </c>
      <c r="D39" s="20" t="s">
        <v>229</v>
      </c>
      <c r="E39" s="22" t="s">
        <v>464</v>
      </c>
      <c r="F39" s="22">
        <v>20</v>
      </c>
      <c r="G39" s="22"/>
    </row>
    <row r="40" spans="1:7" ht="24" customHeight="1">
      <c r="A40" s="20">
        <v>37</v>
      </c>
      <c r="B40" s="21" t="s">
        <v>32</v>
      </c>
      <c r="C40" s="191" t="s">
        <v>1069</v>
      </c>
      <c r="D40" s="20" t="s">
        <v>229</v>
      </c>
      <c r="E40" s="22" t="s">
        <v>415</v>
      </c>
      <c r="F40" s="22">
        <v>120</v>
      </c>
      <c r="G40" s="22"/>
    </row>
    <row r="41" spans="1:7" ht="24" customHeight="1">
      <c r="A41" s="20">
        <v>38</v>
      </c>
      <c r="B41" s="21" t="s">
        <v>32</v>
      </c>
      <c r="C41" s="191" t="s">
        <v>1069</v>
      </c>
      <c r="D41" s="20" t="s">
        <v>229</v>
      </c>
      <c r="E41" s="22" t="s">
        <v>1011</v>
      </c>
      <c r="F41" s="22">
        <v>8</v>
      </c>
      <c r="G41" s="22"/>
    </row>
    <row r="42" spans="1:7" ht="24" customHeight="1">
      <c r="A42" s="20">
        <v>39</v>
      </c>
      <c r="B42" s="21" t="s">
        <v>32</v>
      </c>
      <c r="C42" s="191" t="s">
        <v>1069</v>
      </c>
      <c r="D42" s="20" t="s">
        <v>229</v>
      </c>
      <c r="E42" s="193" t="s">
        <v>1012</v>
      </c>
      <c r="F42" s="22">
        <v>20</v>
      </c>
      <c r="G42" s="22"/>
    </row>
    <row r="43" spans="1:7" ht="24" customHeight="1">
      <c r="A43" s="20">
        <v>40</v>
      </c>
      <c r="B43" s="21" t="s">
        <v>32</v>
      </c>
      <c r="C43" s="191" t="s">
        <v>1069</v>
      </c>
      <c r="D43" s="20" t="s">
        <v>229</v>
      </c>
      <c r="E43" s="22" t="s">
        <v>417</v>
      </c>
      <c r="F43" s="22">
        <v>10</v>
      </c>
      <c r="G43" s="22"/>
    </row>
    <row r="44" spans="1:7" ht="24" customHeight="1">
      <c r="A44" s="20">
        <v>41</v>
      </c>
      <c r="B44" s="21" t="s">
        <v>32</v>
      </c>
      <c r="C44" s="191" t="s">
        <v>1069</v>
      </c>
      <c r="D44" s="20" t="s">
        <v>229</v>
      </c>
      <c r="E44" s="22" t="s">
        <v>431</v>
      </c>
      <c r="F44" s="22">
        <v>12</v>
      </c>
      <c r="G44" s="22"/>
    </row>
    <row r="45" spans="1:7" ht="24" customHeight="1">
      <c r="A45" s="20">
        <v>42</v>
      </c>
      <c r="B45" s="21" t="s">
        <v>32</v>
      </c>
      <c r="C45" s="191" t="s">
        <v>1069</v>
      </c>
      <c r="D45" s="17" t="s">
        <v>219</v>
      </c>
      <c r="E45" s="36" t="s">
        <v>238</v>
      </c>
      <c r="F45" s="35">
        <f>SUM(F33:F44)</f>
        <v>362</v>
      </c>
      <c r="G45" s="36"/>
    </row>
    <row r="46" spans="1:7" ht="24" customHeight="1">
      <c r="A46" s="20">
        <v>43</v>
      </c>
      <c r="B46" s="21" t="s">
        <v>32</v>
      </c>
      <c r="C46" s="191" t="s">
        <v>1069</v>
      </c>
      <c r="D46" s="20" t="s">
        <v>239</v>
      </c>
      <c r="E46" s="22" t="s">
        <v>985</v>
      </c>
      <c r="F46" s="22">
        <v>80</v>
      </c>
      <c r="G46" s="22"/>
    </row>
    <row r="47" spans="1:7" ht="24" customHeight="1">
      <c r="A47" s="20">
        <v>44</v>
      </c>
      <c r="B47" s="21" t="s">
        <v>32</v>
      </c>
      <c r="C47" s="191" t="s">
        <v>1069</v>
      </c>
      <c r="D47" s="20" t="s">
        <v>239</v>
      </c>
      <c r="E47" s="22" t="s">
        <v>241</v>
      </c>
      <c r="F47" s="22">
        <v>60</v>
      </c>
      <c r="G47" s="22"/>
    </row>
    <row r="48" spans="1:7" ht="24" customHeight="1">
      <c r="A48" s="20">
        <v>45</v>
      </c>
      <c r="B48" s="21" t="s">
        <v>32</v>
      </c>
      <c r="C48" s="191" t="s">
        <v>1069</v>
      </c>
      <c r="D48" s="17" t="s">
        <v>219</v>
      </c>
      <c r="E48" s="36" t="s">
        <v>242</v>
      </c>
      <c r="F48" s="36">
        <f>SUM(F46:F47)</f>
        <v>140</v>
      </c>
      <c r="G48" s="36"/>
    </row>
    <row r="49" spans="1:7" ht="24" customHeight="1">
      <c r="A49" s="20">
        <v>46</v>
      </c>
      <c r="B49" s="21" t="s">
        <v>32</v>
      </c>
      <c r="C49" s="191" t="s">
        <v>1069</v>
      </c>
      <c r="D49" s="20" t="s">
        <v>259</v>
      </c>
      <c r="E49" s="22" t="s">
        <v>449</v>
      </c>
      <c r="F49" s="22">
        <v>10</v>
      </c>
      <c r="G49" s="20"/>
    </row>
    <row r="50" spans="1:7" ht="24" customHeight="1">
      <c r="A50" s="20">
        <v>47</v>
      </c>
      <c r="B50" s="21" t="s">
        <v>32</v>
      </c>
      <c r="C50" s="191" t="s">
        <v>1069</v>
      </c>
      <c r="D50" s="20" t="s">
        <v>259</v>
      </c>
      <c r="E50" s="28" t="s">
        <v>450</v>
      </c>
      <c r="F50" s="22">
        <v>45</v>
      </c>
      <c r="G50" s="20"/>
    </row>
    <row r="51" spans="1:7" ht="24" customHeight="1">
      <c r="A51" s="20">
        <v>48</v>
      </c>
      <c r="B51" s="21" t="s">
        <v>32</v>
      </c>
      <c r="C51" s="191" t="s">
        <v>1069</v>
      </c>
      <c r="D51" s="17" t="s">
        <v>219</v>
      </c>
      <c r="E51" s="44" t="s">
        <v>261</v>
      </c>
      <c r="F51" s="36">
        <f>SUM(F49:F50)</f>
        <v>55</v>
      </c>
      <c r="G51" s="36"/>
    </row>
    <row r="52" spans="1:7" ht="24" customHeight="1">
      <c r="A52" s="20">
        <v>49</v>
      </c>
      <c r="B52" s="21" t="s">
        <v>32</v>
      </c>
      <c r="C52" s="191" t="s">
        <v>1069</v>
      </c>
      <c r="D52" s="20" t="s">
        <v>243</v>
      </c>
      <c r="E52" s="52" t="s">
        <v>465</v>
      </c>
      <c r="F52" s="22">
        <v>0</v>
      </c>
      <c r="G52" s="52" t="s">
        <v>1013</v>
      </c>
    </row>
    <row r="53" spans="1:7" ht="24" customHeight="1">
      <c r="A53" s="20">
        <v>50</v>
      </c>
      <c r="B53" s="21" t="s">
        <v>32</v>
      </c>
      <c r="C53" s="191" t="s">
        <v>1069</v>
      </c>
      <c r="D53" s="20" t="s">
        <v>243</v>
      </c>
      <c r="E53" s="52" t="s">
        <v>466</v>
      </c>
      <c r="F53" s="22">
        <v>0</v>
      </c>
      <c r="G53" s="52" t="s">
        <v>1013</v>
      </c>
    </row>
    <row r="54" spans="1:7" ht="24" customHeight="1">
      <c r="A54" s="20">
        <v>51</v>
      </c>
      <c r="B54" s="21" t="s">
        <v>32</v>
      </c>
      <c r="C54" s="191" t="s">
        <v>1069</v>
      </c>
      <c r="D54" s="20" t="s">
        <v>243</v>
      </c>
      <c r="E54" s="52" t="s">
        <v>467</v>
      </c>
      <c r="F54" s="22">
        <v>0</v>
      </c>
      <c r="G54" s="52" t="s">
        <v>1013</v>
      </c>
    </row>
    <row r="55" spans="1:7" ht="24" customHeight="1">
      <c r="A55" s="20">
        <v>52</v>
      </c>
      <c r="B55" s="21" t="s">
        <v>32</v>
      </c>
      <c r="C55" s="191" t="s">
        <v>1069</v>
      </c>
      <c r="D55" s="20" t="s">
        <v>243</v>
      </c>
      <c r="E55" s="52" t="s">
        <v>247</v>
      </c>
      <c r="F55" s="22">
        <v>0</v>
      </c>
      <c r="G55" s="52" t="s">
        <v>1013</v>
      </c>
    </row>
    <row r="56" spans="1:7" ht="24" customHeight="1">
      <c r="A56" s="20">
        <v>53</v>
      </c>
      <c r="B56" s="21" t="s">
        <v>32</v>
      </c>
      <c r="C56" s="191" t="s">
        <v>1069</v>
      </c>
      <c r="D56" s="17" t="s">
        <v>219</v>
      </c>
      <c r="E56" s="36" t="s">
        <v>1014</v>
      </c>
      <c r="F56" s="36">
        <f>SUM(F52:F55)</f>
        <v>0</v>
      </c>
      <c r="G56" s="52" t="s">
        <v>1013</v>
      </c>
    </row>
    <row r="57" spans="1:7" ht="24" customHeight="1">
      <c r="A57" s="20">
        <v>54</v>
      </c>
      <c r="B57" s="21" t="s">
        <v>32</v>
      </c>
      <c r="C57" s="191" t="s">
        <v>1069</v>
      </c>
      <c r="D57" s="38" t="s">
        <v>249</v>
      </c>
      <c r="E57" s="22" t="s">
        <v>1015</v>
      </c>
      <c r="F57" s="22">
        <v>12</v>
      </c>
      <c r="G57" s="22"/>
    </row>
    <row r="58" spans="1:7" ht="24" customHeight="1">
      <c r="A58" s="20">
        <v>55</v>
      </c>
      <c r="B58" s="21" t="s">
        <v>32</v>
      </c>
      <c r="C58" s="191" t="s">
        <v>1069</v>
      </c>
      <c r="D58" s="38" t="s">
        <v>249</v>
      </c>
      <c r="E58" s="22" t="s">
        <v>918</v>
      </c>
      <c r="F58" s="22">
        <v>36</v>
      </c>
      <c r="G58" s="22"/>
    </row>
    <row r="59" spans="1:7" ht="24" customHeight="1">
      <c r="A59" s="20">
        <v>56</v>
      </c>
      <c r="B59" s="21" t="s">
        <v>32</v>
      </c>
      <c r="C59" s="191" t="s">
        <v>1069</v>
      </c>
      <c r="D59" s="38" t="s">
        <v>249</v>
      </c>
      <c r="E59" s="52" t="s">
        <v>1016</v>
      </c>
      <c r="F59" s="52">
        <v>13.5</v>
      </c>
      <c r="G59" s="22"/>
    </row>
    <row r="60" spans="1:7" ht="24" customHeight="1">
      <c r="A60" s="20">
        <v>57</v>
      </c>
      <c r="B60" s="21" t="s">
        <v>32</v>
      </c>
      <c r="C60" s="191" t="s">
        <v>1069</v>
      </c>
      <c r="D60" s="38" t="s">
        <v>249</v>
      </c>
      <c r="E60" s="22" t="s">
        <v>284</v>
      </c>
      <c r="F60" s="22">
        <v>10</v>
      </c>
      <c r="G60" s="22"/>
    </row>
    <row r="61" spans="1:7" ht="24" customHeight="1">
      <c r="A61" s="20">
        <v>58</v>
      </c>
      <c r="B61" s="21" t="s">
        <v>32</v>
      </c>
      <c r="C61" s="191" t="s">
        <v>1069</v>
      </c>
      <c r="D61" s="38" t="s">
        <v>249</v>
      </c>
      <c r="E61" s="34" t="s">
        <v>454</v>
      </c>
      <c r="F61" s="22">
        <v>10</v>
      </c>
      <c r="G61" s="22"/>
    </row>
    <row r="62" spans="1:7" ht="24" customHeight="1">
      <c r="A62" s="20">
        <v>59</v>
      </c>
      <c r="B62" s="21" t="s">
        <v>32</v>
      </c>
      <c r="C62" s="191" t="s">
        <v>1069</v>
      </c>
      <c r="D62" s="38" t="s">
        <v>249</v>
      </c>
      <c r="E62" s="22" t="s">
        <v>1017</v>
      </c>
      <c r="F62" s="22">
        <v>30</v>
      </c>
      <c r="G62" s="22"/>
    </row>
    <row r="63" spans="1:7" ht="36" customHeight="1">
      <c r="A63" s="20">
        <v>60</v>
      </c>
      <c r="B63" s="21" t="s">
        <v>32</v>
      </c>
      <c r="C63" s="191" t="s">
        <v>1069</v>
      </c>
      <c r="D63" s="38" t="s">
        <v>249</v>
      </c>
      <c r="E63" s="26" t="s">
        <v>1018</v>
      </c>
      <c r="F63" s="52">
        <v>112</v>
      </c>
      <c r="G63" s="36"/>
    </row>
    <row r="64" spans="1:7" ht="39" customHeight="1">
      <c r="A64" s="20">
        <v>61</v>
      </c>
      <c r="B64" s="192" t="s">
        <v>1065</v>
      </c>
      <c r="C64" s="191" t="s">
        <v>1069</v>
      </c>
      <c r="D64" s="190" t="s">
        <v>1064</v>
      </c>
      <c r="E64" s="189" t="s">
        <v>1063</v>
      </c>
      <c r="F64" s="52">
        <v>10</v>
      </c>
      <c r="G64" s="36"/>
    </row>
    <row r="65" spans="1:7" ht="38" customHeight="1">
      <c r="A65" s="20">
        <v>62</v>
      </c>
      <c r="B65" s="21" t="s">
        <v>32</v>
      </c>
      <c r="C65" s="191" t="s">
        <v>1069</v>
      </c>
      <c r="D65" s="38" t="s">
        <v>249</v>
      </c>
      <c r="E65" s="188" t="s">
        <v>1060</v>
      </c>
      <c r="F65" s="52">
        <v>70</v>
      </c>
      <c r="G65" s="36"/>
    </row>
    <row r="66" spans="1:7" ht="24" customHeight="1">
      <c r="A66" s="20">
        <v>63</v>
      </c>
      <c r="B66" s="21" t="s">
        <v>32</v>
      </c>
      <c r="C66" s="191" t="s">
        <v>1069</v>
      </c>
      <c r="D66" s="17" t="s">
        <v>219</v>
      </c>
      <c r="E66" s="36" t="s">
        <v>255</v>
      </c>
      <c r="F66" s="36">
        <f>SUM(F57:F65)</f>
        <v>303.5</v>
      </c>
      <c r="G66" s="36"/>
    </row>
    <row r="67" spans="1:7" ht="24" customHeight="1">
      <c r="A67" s="20">
        <v>64</v>
      </c>
      <c r="B67" s="21" t="s">
        <v>32</v>
      </c>
      <c r="C67" s="191" t="s">
        <v>1069</v>
      </c>
      <c r="D67" s="28" t="s">
        <v>256</v>
      </c>
      <c r="E67" s="28" t="s">
        <v>286</v>
      </c>
      <c r="F67" s="23">
        <v>10</v>
      </c>
      <c r="G67" s="22"/>
    </row>
    <row r="68" spans="1:7" ht="24" customHeight="1">
      <c r="A68" s="20">
        <v>65</v>
      </c>
      <c r="B68" s="21" t="s">
        <v>32</v>
      </c>
      <c r="C68" s="191" t="s">
        <v>1069</v>
      </c>
      <c r="D68" s="17" t="s">
        <v>219</v>
      </c>
      <c r="E68" s="36" t="s">
        <v>258</v>
      </c>
      <c r="F68" s="36">
        <f>SUM(F67)</f>
        <v>10</v>
      </c>
      <c r="G68" s="36"/>
    </row>
    <row r="69" spans="1:7" ht="24" customHeight="1">
      <c r="A69" s="20">
        <v>66</v>
      </c>
      <c r="B69" s="21" t="s">
        <v>32</v>
      </c>
      <c r="C69" s="191" t="s">
        <v>1069</v>
      </c>
      <c r="D69" s="20" t="s">
        <v>262</v>
      </c>
      <c r="E69" s="22" t="s">
        <v>425</v>
      </c>
      <c r="F69" s="22">
        <v>255</v>
      </c>
      <c r="G69" s="22"/>
    </row>
    <row r="70" spans="1:7" ht="24" customHeight="1">
      <c r="A70" s="20">
        <v>67</v>
      </c>
      <c r="B70" s="21" t="s">
        <v>32</v>
      </c>
      <c r="C70" s="191" t="s">
        <v>1069</v>
      </c>
      <c r="D70" s="20" t="s">
        <v>262</v>
      </c>
      <c r="E70" s="22" t="s">
        <v>999</v>
      </c>
      <c r="F70" s="22">
        <v>20</v>
      </c>
      <c r="G70" s="22"/>
    </row>
    <row r="71" spans="1:7" ht="24" customHeight="1">
      <c r="A71" s="20">
        <v>68</v>
      </c>
      <c r="B71" s="21" t="s">
        <v>32</v>
      </c>
      <c r="C71" s="191" t="s">
        <v>1069</v>
      </c>
      <c r="D71" s="20" t="s">
        <v>262</v>
      </c>
      <c r="E71" s="22" t="s">
        <v>264</v>
      </c>
      <c r="F71" s="22">
        <v>40</v>
      </c>
      <c r="G71" s="22"/>
    </row>
    <row r="72" spans="1:7" ht="24" customHeight="1">
      <c r="A72" s="20">
        <v>69</v>
      </c>
      <c r="B72" s="21" t="s">
        <v>32</v>
      </c>
      <c r="C72" s="191" t="s">
        <v>1069</v>
      </c>
      <c r="D72" s="20" t="s">
        <v>262</v>
      </c>
      <c r="E72" s="22" t="s">
        <v>265</v>
      </c>
      <c r="F72" s="22">
        <v>40</v>
      </c>
      <c r="G72" s="22"/>
    </row>
    <row r="73" spans="1:7" ht="24" customHeight="1">
      <c r="A73" s="20">
        <v>70</v>
      </c>
      <c r="B73" s="21" t="s">
        <v>32</v>
      </c>
      <c r="C73" s="191" t="s">
        <v>1069</v>
      </c>
      <c r="D73" s="17" t="s">
        <v>219</v>
      </c>
      <c r="E73" s="36" t="s">
        <v>266</v>
      </c>
      <c r="F73" s="36">
        <f>SUM(F69:F72)</f>
        <v>355</v>
      </c>
      <c r="G73" s="36"/>
    </row>
    <row r="74" spans="1:7" ht="24" customHeight="1">
      <c r="A74" s="20">
        <v>71</v>
      </c>
      <c r="B74" s="21" t="s">
        <v>32</v>
      </c>
      <c r="C74" s="191" t="s">
        <v>1069</v>
      </c>
      <c r="D74" s="17" t="s">
        <v>267</v>
      </c>
      <c r="E74" s="35" t="s">
        <v>1019</v>
      </c>
      <c r="F74" s="35">
        <v>2141.5</v>
      </c>
      <c r="G74" s="36"/>
    </row>
    <row r="75" spans="1:7" ht="24" customHeight="1">
      <c r="A75" s="244" t="s">
        <v>1066</v>
      </c>
      <c r="B75" s="232"/>
      <c r="C75" s="232"/>
      <c r="D75" s="232"/>
      <c r="E75" s="232"/>
      <c r="F75" s="232"/>
      <c r="G75" s="233"/>
    </row>
  </sheetData>
  <autoFilter ref="A3:G75" xr:uid="{00000000-0009-0000-0000-000045000000}"/>
  <mergeCells count="3">
    <mergeCell ref="A1:G1"/>
    <mergeCell ref="A2:G2"/>
    <mergeCell ref="A75:G75"/>
  </mergeCells>
  <phoneticPr fontId="23" type="noConversion"/>
  <pageMargins left="0.27559055118110198" right="0.15748031496063" top="0.43307086614173201" bottom="0.43307086614173201" header="0.43307086614173201" footer="0.23622047244094499"/>
  <pageSetup paperSize="9" orientation="portrait" r:id="rId1"/>
  <headerFooter>
    <oddFooter>&amp;C&amp;8第 &amp;P 页，共 &amp;N 页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5" tint="-0.249977111117893"/>
  </sheetPr>
  <dimension ref="A1:H74"/>
  <sheetViews>
    <sheetView view="pageBreakPreview" topLeftCell="A58" zoomScale="70" zoomScaleNormal="145" zoomScaleSheetLayoutView="70" workbookViewId="0">
      <selection activeCell="E44" sqref="E44"/>
    </sheetView>
  </sheetViews>
  <sheetFormatPr defaultColWidth="9.796875" defaultRowHeight="15.75"/>
  <cols>
    <col min="1" max="1" width="4.46484375" style="31" customWidth="1"/>
    <col min="2" max="2" width="9.46484375" style="32" customWidth="1"/>
    <col min="3" max="3" width="13.9296875" style="31" customWidth="1"/>
    <col min="4" max="4" width="10.59765625" style="31" customWidth="1"/>
    <col min="5" max="5" width="44.265625" style="13" customWidth="1"/>
    <col min="6" max="6" width="8.9296875" style="13" customWidth="1"/>
    <col min="7" max="7" width="9" style="13" customWidth="1"/>
    <col min="8" max="16384" width="9.796875" style="16"/>
  </cols>
  <sheetData>
    <row r="1" spans="1:7" ht="24" customHeight="1">
      <c r="A1" s="229" t="s">
        <v>1020</v>
      </c>
      <c r="B1" s="229"/>
      <c r="C1" s="229"/>
      <c r="D1" s="229"/>
      <c r="E1" s="229"/>
      <c r="F1" s="243"/>
      <c r="G1" s="243"/>
    </row>
    <row r="2" spans="1:7" ht="24" customHeight="1">
      <c r="A2" s="230" t="s">
        <v>1021</v>
      </c>
      <c r="B2" s="230"/>
      <c r="C2" s="230"/>
      <c r="D2" s="230"/>
      <c r="E2" s="230"/>
      <c r="F2" s="230"/>
      <c r="G2" s="230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7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23</v>
      </c>
      <c r="C4" s="191" t="s">
        <v>1068</v>
      </c>
      <c r="D4" s="20" t="s">
        <v>209</v>
      </c>
      <c r="E4" s="22" t="s">
        <v>210</v>
      </c>
      <c r="F4" s="22">
        <v>19</v>
      </c>
      <c r="G4" s="22"/>
    </row>
    <row r="5" spans="1:7" ht="24" customHeight="1">
      <c r="A5" s="20">
        <v>2</v>
      </c>
      <c r="B5" s="21" t="s">
        <v>23</v>
      </c>
      <c r="C5" s="191" t="s">
        <v>1068</v>
      </c>
      <c r="D5" s="20" t="s">
        <v>209</v>
      </c>
      <c r="E5" s="22" t="s">
        <v>211</v>
      </c>
      <c r="F5" s="22">
        <v>15</v>
      </c>
      <c r="G5" s="22"/>
    </row>
    <row r="6" spans="1:7" ht="24" customHeight="1">
      <c r="A6" s="20">
        <v>3</v>
      </c>
      <c r="B6" s="21" t="s">
        <v>23</v>
      </c>
      <c r="C6" s="191" t="s">
        <v>1068</v>
      </c>
      <c r="D6" s="20" t="s">
        <v>209</v>
      </c>
      <c r="E6" s="22" t="s">
        <v>212</v>
      </c>
      <c r="F6" s="22">
        <v>34</v>
      </c>
      <c r="G6" s="22"/>
    </row>
    <row r="7" spans="1:7" ht="24" customHeight="1">
      <c r="A7" s="20">
        <v>4</v>
      </c>
      <c r="B7" s="21" t="s">
        <v>23</v>
      </c>
      <c r="C7" s="191" t="s">
        <v>1068</v>
      </c>
      <c r="D7" s="20" t="s">
        <v>209</v>
      </c>
      <c r="E7" s="22" t="s">
        <v>272</v>
      </c>
      <c r="F7" s="22">
        <v>34</v>
      </c>
      <c r="G7" s="22"/>
    </row>
    <row r="8" spans="1:7" ht="24" customHeight="1">
      <c r="A8" s="20">
        <v>5</v>
      </c>
      <c r="B8" s="21" t="s">
        <v>23</v>
      </c>
      <c r="C8" s="191" t="s">
        <v>1068</v>
      </c>
      <c r="D8" s="20" t="s">
        <v>209</v>
      </c>
      <c r="E8" s="22" t="s">
        <v>214</v>
      </c>
      <c r="F8" s="22">
        <v>26</v>
      </c>
      <c r="G8" s="22"/>
    </row>
    <row r="9" spans="1:7" ht="24" customHeight="1">
      <c r="A9" s="20">
        <v>6</v>
      </c>
      <c r="B9" s="21" t="s">
        <v>23</v>
      </c>
      <c r="C9" s="191" t="s">
        <v>1068</v>
      </c>
      <c r="D9" s="20" t="s">
        <v>209</v>
      </c>
      <c r="E9" s="22" t="s">
        <v>980</v>
      </c>
      <c r="F9" s="43">
        <v>20</v>
      </c>
      <c r="G9" s="22"/>
    </row>
    <row r="10" spans="1:7" ht="24" customHeight="1">
      <c r="A10" s="20">
        <v>7</v>
      </c>
      <c r="B10" s="21" t="s">
        <v>23</v>
      </c>
      <c r="C10" s="191" t="s">
        <v>1068</v>
      </c>
      <c r="D10" s="20" t="s">
        <v>209</v>
      </c>
      <c r="E10" s="22" t="s">
        <v>216</v>
      </c>
      <c r="F10" s="22">
        <v>40</v>
      </c>
      <c r="G10" s="22"/>
    </row>
    <row r="11" spans="1:7" ht="24" customHeight="1">
      <c r="A11" s="20">
        <v>8</v>
      </c>
      <c r="B11" s="21" t="s">
        <v>23</v>
      </c>
      <c r="C11" s="191" t="s">
        <v>1068</v>
      </c>
      <c r="D11" s="20" t="s">
        <v>209</v>
      </c>
      <c r="E11" s="22" t="s">
        <v>981</v>
      </c>
      <c r="F11" s="22">
        <v>10</v>
      </c>
      <c r="G11" s="22"/>
    </row>
    <row r="12" spans="1:7" ht="24" customHeight="1">
      <c r="A12" s="20">
        <v>9</v>
      </c>
      <c r="B12" s="21" t="s">
        <v>23</v>
      </c>
      <c r="C12" s="191" t="s">
        <v>1068</v>
      </c>
      <c r="D12" s="20" t="s">
        <v>209</v>
      </c>
      <c r="E12" s="22" t="s">
        <v>292</v>
      </c>
      <c r="F12" s="22">
        <v>18</v>
      </c>
      <c r="G12" s="22"/>
    </row>
    <row r="13" spans="1:7" ht="24" customHeight="1">
      <c r="A13" s="20">
        <v>10</v>
      </c>
      <c r="B13" s="21" t="s">
        <v>23</v>
      </c>
      <c r="C13" s="191" t="s">
        <v>1068</v>
      </c>
      <c r="D13" s="20" t="s">
        <v>209</v>
      </c>
      <c r="E13" s="22" t="s">
        <v>217</v>
      </c>
      <c r="F13" s="22">
        <v>55</v>
      </c>
      <c r="G13" s="22"/>
    </row>
    <row r="14" spans="1:7" ht="24" customHeight="1">
      <c r="A14" s="20">
        <v>11</v>
      </c>
      <c r="B14" s="21" t="s">
        <v>23</v>
      </c>
      <c r="C14" s="191" t="s">
        <v>1068</v>
      </c>
      <c r="D14" s="20" t="s">
        <v>209</v>
      </c>
      <c r="E14" s="22" t="s">
        <v>218</v>
      </c>
      <c r="F14" s="22">
        <v>10</v>
      </c>
      <c r="G14" s="22"/>
    </row>
    <row r="15" spans="1:7" ht="24" customHeight="1">
      <c r="A15" s="20">
        <v>12</v>
      </c>
      <c r="B15" s="21" t="s">
        <v>23</v>
      </c>
      <c r="C15" s="191" t="s">
        <v>1068</v>
      </c>
      <c r="D15" s="17" t="s">
        <v>219</v>
      </c>
      <c r="E15" s="36" t="s">
        <v>220</v>
      </c>
      <c r="F15" s="36">
        <f>SUM(F4:F14)</f>
        <v>281</v>
      </c>
      <c r="G15" s="36"/>
    </row>
    <row r="16" spans="1:7" ht="24" customHeight="1">
      <c r="A16" s="20">
        <v>13</v>
      </c>
      <c r="B16" s="21" t="s">
        <v>23</v>
      </c>
      <c r="C16" s="191" t="s">
        <v>1068</v>
      </c>
      <c r="D16" s="20" t="s">
        <v>401</v>
      </c>
      <c r="E16" s="22" t="s">
        <v>402</v>
      </c>
      <c r="F16" s="22">
        <v>34</v>
      </c>
      <c r="G16" s="22"/>
    </row>
    <row r="17" spans="1:7" ht="24" customHeight="1">
      <c r="A17" s="20">
        <v>14</v>
      </c>
      <c r="B17" s="21" t="s">
        <v>23</v>
      </c>
      <c r="C17" s="191" t="s">
        <v>1068</v>
      </c>
      <c r="D17" s="20" t="s">
        <v>401</v>
      </c>
      <c r="E17" s="22" t="s">
        <v>403</v>
      </c>
      <c r="F17" s="22">
        <v>34</v>
      </c>
      <c r="G17" s="22"/>
    </row>
    <row r="18" spans="1:7" ht="24" customHeight="1">
      <c r="A18" s="20">
        <v>15</v>
      </c>
      <c r="B18" s="21" t="s">
        <v>23</v>
      </c>
      <c r="C18" s="191" t="s">
        <v>1068</v>
      </c>
      <c r="D18" s="20" t="s">
        <v>401</v>
      </c>
      <c r="E18" s="22" t="s">
        <v>404</v>
      </c>
      <c r="F18" s="22">
        <v>140</v>
      </c>
      <c r="G18" s="22"/>
    </row>
    <row r="19" spans="1:7" ht="24" customHeight="1">
      <c r="A19" s="20">
        <v>16</v>
      </c>
      <c r="B19" s="21" t="s">
        <v>23</v>
      </c>
      <c r="C19" s="191" t="s">
        <v>1068</v>
      </c>
      <c r="D19" s="20" t="s">
        <v>401</v>
      </c>
      <c r="E19" s="22" t="s">
        <v>405</v>
      </c>
      <c r="F19" s="22">
        <v>60</v>
      </c>
      <c r="G19" s="22"/>
    </row>
    <row r="20" spans="1:7" ht="24" customHeight="1">
      <c r="A20" s="20">
        <v>17</v>
      </c>
      <c r="B20" s="21" t="s">
        <v>23</v>
      </c>
      <c r="C20" s="191" t="s">
        <v>1068</v>
      </c>
      <c r="D20" s="20" t="s">
        <v>401</v>
      </c>
      <c r="E20" s="22" t="s">
        <v>406</v>
      </c>
      <c r="F20" s="22">
        <v>20</v>
      </c>
      <c r="G20" s="22"/>
    </row>
    <row r="21" spans="1:7" ht="24" customHeight="1">
      <c r="A21" s="20">
        <v>18</v>
      </c>
      <c r="B21" s="21" t="s">
        <v>23</v>
      </c>
      <c r="C21" s="191" t="s">
        <v>1068</v>
      </c>
      <c r="D21" s="20" t="s">
        <v>401</v>
      </c>
      <c r="E21" s="22" t="s">
        <v>459</v>
      </c>
      <c r="F21" s="22">
        <v>200</v>
      </c>
      <c r="G21" s="22"/>
    </row>
    <row r="22" spans="1:7" ht="24" customHeight="1">
      <c r="A22" s="20">
        <v>19</v>
      </c>
      <c r="B22" s="21" t="s">
        <v>23</v>
      </c>
      <c r="C22" s="191" t="s">
        <v>1068</v>
      </c>
      <c r="D22" s="20" t="s">
        <v>401</v>
      </c>
      <c r="E22" s="22" t="s">
        <v>460</v>
      </c>
      <c r="F22" s="22">
        <v>16</v>
      </c>
      <c r="G22" s="22"/>
    </row>
    <row r="23" spans="1:7" ht="24" customHeight="1">
      <c r="A23" s="20">
        <v>20</v>
      </c>
      <c r="B23" s="21" t="s">
        <v>23</v>
      </c>
      <c r="C23" s="191" t="s">
        <v>1068</v>
      </c>
      <c r="D23" s="17" t="s">
        <v>219</v>
      </c>
      <c r="E23" s="36" t="s">
        <v>409</v>
      </c>
      <c r="F23" s="36">
        <f>SUM(F16:F22)</f>
        <v>504</v>
      </c>
      <c r="G23" s="36"/>
    </row>
    <row r="24" spans="1:7" ht="24" customHeight="1">
      <c r="A24" s="20">
        <v>21</v>
      </c>
      <c r="B24" s="21" t="s">
        <v>23</v>
      </c>
      <c r="C24" s="191" t="s">
        <v>1068</v>
      </c>
      <c r="D24" s="20" t="s">
        <v>221</v>
      </c>
      <c r="E24" s="22" t="s">
        <v>222</v>
      </c>
      <c r="F24" s="22">
        <v>14</v>
      </c>
      <c r="G24" s="22"/>
    </row>
    <row r="25" spans="1:7" ht="24" customHeight="1">
      <c r="A25" s="20">
        <v>22</v>
      </c>
      <c r="B25" s="21" t="s">
        <v>23</v>
      </c>
      <c r="C25" s="191" t="s">
        <v>1068</v>
      </c>
      <c r="D25" s="20" t="s">
        <v>221</v>
      </c>
      <c r="E25" s="22" t="s">
        <v>461</v>
      </c>
      <c r="F25" s="22">
        <v>22</v>
      </c>
      <c r="G25" s="22"/>
    </row>
    <row r="26" spans="1:7" ht="24" customHeight="1">
      <c r="A26" s="20">
        <v>23</v>
      </c>
      <c r="B26" s="21" t="s">
        <v>23</v>
      </c>
      <c r="C26" s="191" t="s">
        <v>1068</v>
      </c>
      <c r="D26" s="20" t="s">
        <v>221</v>
      </c>
      <c r="E26" s="22" t="s">
        <v>462</v>
      </c>
      <c r="F26" s="22">
        <v>12</v>
      </c>
      <c r="G26" s="22"/>
    </row>
    <row r="27" spans="1:7" ht="24" customHeight="1">
      <c r="A27" s="20">
        <v>24</v>
      </c>
      <c r="B27" s="21" t="s">
        <v>23</v>
      </c>
      <c r="C27" s="191" t="s">
        <v>1068</v>
      </c>
      <c r="D27" s="20" t="s">
        <v>221</v>
      </c>
      <c r="E27" s="22" t="s">
        <v>224</v>
      </c>
      <c r="F27" s="22">
        <v>9</v>
      </c>
      <c r="G27" s="22"/>
    </row>
    <row r="28" spans="1:7" ht="24" customHeight="1">
      <c r="A28" s="20">
        <v>25</v>
      </c>
      <c r="B28" s="21" t="s">
        <v>23</v>
      </c>
      <c r="C28" s="191" t="s">
        <v>1068</v>
      </c>
      <c r="D28" s="20" t="s">
        <v>221</v>
      </c>
      <c r="E28" s="22" t="s">
        <v>225</v>
      </c>
      <c r="F28" s="22">
        <v>20</v>
      </c>
      <c r="G28" s="22"/>
    </row>
    <row r="29" spans="1:7" ht="24" customHeight="1">
      <c r="A29" s="20">
        <v>26</v>
      </c>
      <c r="B29" s="21" t="s">
        <v>23</v>
      </c>
      <c r="C29" s="191" t="s">
        <v>1068</v>
      </c>
      <c r="D29" s="20" t="s">
        <v>221</v>
      </c>
      <c r="E29" s="22" t="s">
        <v>226</v>
      </c>
      <c r="F29" s="22">
        <v>22</v>
      </c>
      <c r="G29" s="22"/>
    </row>
    <row r="30" spans="1:7" ht="24" customHeight="1">
      <c r="A30" s="20">
        <v>27</v>
      </c>
      <c r="B30" s="21" t="s">
        <v>23</v>
      </c>
      <c r="C30" s="191" t="s">
        <v>1068</v>
      </c>
      <c r="D30" s="20" t="s">
        <v>221</v>
      </c>
      <c r="E30" s="22" t="s">
        <v>982</v>
      </c>
      <c r="F30" s="43">
        <v>12</v>
      </c>
      <c r="G30" s="22"/>
    </row>
    <row r="31" spans="1:7" ht="24" customHeight="1">
      <c r="A31" s="20">
        <v>28</v>
      </c>
      <c r="B31" s="21" t="s">
        <v>23</v>
      </c>
      <c r="C31" s="191" t="s">
        <v>1068</v>
      </c>
      <c r="D31" s="20" t="s">
        <v>221</v>
      </c>
      <c r="E31" s="22" t="s">
        <v>391</v>
      </c>
      <c r="F31" s="22">
        <v>20</v>
      </c>
      <c r="G31" s="22"/>
    </row>
    <row r="32" spans="1:7" ht="24" customHeight="1">
      <c r="A32" s="20">
        <v>29</v>
      </c>
      <c r="B32" s="21" t="s">
        <v>23</v>
      </c>
      <c r="C32" s="191" t="s">
        <v>1068</v>
      </c>
      <c r="D32" s="17" t="s">
        <v>219</v>
      </c>
      <c r="E32" s="36" t="s">
        <v>228</v>
      </c>
      <c r="F32" s="35">
        <f>SUM(F24:F31)</f>
        <v>131</v>
      </c>
      <c r="G32" s="36"/>
    </row>
    <row r="33" spans="1:7" ht="24" customHeight="1">
      <c r="A33" s="20">
        <v>30</v>
      </c>
      <c r="B33" s="21" t="s">
        <v>23</v>
      </c>
      <c r="C33" s="191" t="s">
        <v>1068</v>
      </c>
      <c r="D33" s="20" t="s">
        <v>229</v>
      </c>
      <c r="E33" s="22" t="s">
        <v>230</v>
      </c>
      <c r="F33" s="22">
        <v>14</v>
      </c>
      <c r="G33" s="22"/>
    </row>
    <row r="34" spans="1:7" ht="24" customHeight="1">
      <c r="A34" s="20">
        <v>31</v>
      </c>
      <c r="B34" s="21" t="s">
        <v>23</v>
      </c>
      <c r="C34" s="191" t="s">
        <v>1068</v>
      </c>
      <c r="D34" s="20" t="s">
        <v>229</v>
      </c>
      <c r="E34" s="22" t="s">
        <v>231</v>
      </c>
      <c r="F34" s="22">
        <v>45</v>
      </c>
      <c r="G34" s="22"/>
    </row>
    <row r="35" spans="1:7" ht="24" customHeight="1">
      <c r="A35" s="20">
        <v>32</v>
      </c>
      <c r="B35" s="21" t="s">
        <v>23</v>
      </c>
      <c r="C35" s="191" t="s">
        <v>1068</v>
      </c>
      <c r="D35" s="20" t="s">
        <v>229</v>
      </c>
      <c r="E35" s="22" t="s">
        <v>385</v>
      </c>
      <c r="F35" s="22">
        <v>18</v>
      </c>
      <c r="G35" s="22"/>
    </row>
    <row r="36" spans="1:7" ht="24" customHeight="1">
      <c r="A36" s="20">
        <v>33</v>
      </c>
      <c r="B36" s="21" t="s">
        <v>23</v>
      </c>
      <c r="C36" s="191" t="s">
        <v>1068</v>
      </c>
      <c r="D36" s="20" t="s">
        <v>229</v>
      </c>
      <c r="E36" s="22" t="s">
        <v>1010</v>
      </c>
      <c r="F36" s="22">
        <v>40</v>
      </c>
      <c r="G36" s="22"/>
    </row>
    <row r="37" spans="1:7" ht="24" customHeight="1">
      <c r="A37" s="20">
        <v>34</v>
      </c>
      <c r="B37" s="21" t="s">
        <v>23</v>
      </c>
      <c r="C37" s="191" t="s">
        <v>1068</v>
      </c>
      <c r="D37" s="20" t="s">
        <v>229</v>
      </c>
      <c r="E37" s="22" t="s">
        <v>315</v>
      </c>
      <c r="F37" s="22">
        <v>25</v>
      </c>
      <c r="G37" s="22"/>
    </row>
    <row r="38" spans="1:7" ht="24" customHeight="1">
      <c r="A38" s="20">
        <v>35</v>
      </c>
      <c r="B38" s="21" t="s">
        <v>23</v>
      </c>
      <c r="C38" s="191" t="s">
        <v>1068</v>
      </c>
      <c r="D38" s="20" t="s">
        <v>229</v>
      </c>
      <c r="E38" s="22" t="s">
        <v>463</v>
      </c>
      <c r="F38" s="22">
        <v>30</v>
      </c>
      <c r="G38" s="22"/>
    </row>
    <row r="39" spans="1:7" ht="24" customHeight="1">
      <c r="A39" s="20">
        <v>36</v>
      </c>
      <c r="B39" s="21" t="s">
        <v>23</v>
      </c>
      <c r="C39" s="191" t="s">
        <v>1068</v>
      </c>
      <c r="D39" s="20" t="s">
        <v>229</v>
      </c>
      <c r="E39" s="22" t="s">
        <v>464</v>
      </c>
      <c r="F39" s="22">
        <v>0</v>
      </c>
      <c r="G39" s="20" t="s">
        <v>1013</v>
      </c>
    </row>
    <row r="40" spans="1:7" ht="24" customHeight="1">
      <c r="A40" s="20">
        <v>37</v>
      </c>
      <c r="B40" s="21" t="s">
        <v>23</v>
      </c>
      <c r="C40" s="191" t="s">
        <v>1068</v>
      </c>
      <c r="D40" s="20" t="s">
        <v>229</v>
      </c>
      <c r="E40" s="22" t="s">
        <v>415</v>
      </c>
      <c r="F40" s="22">
        <v>120</v>
      </c>
      <c r="G40" s="22"/>
    </row>
    <row r="41" spans="1:7" ht="24" customHeight="1">
      <c r="A41" s="20">
        <v>38</v>
      </c>
      <c r="B41" s="21" t="s">
        <v>23</v>
      </c>
      <c r="C41" s="191" t="s">
        <v>1068</v>
      </c>
      <c r="D41" s="20" t="s">
        <v>229</v>
      </c>
      <c r="E41" s="22" t="s">
        <v>1011</v>
      </c>
      <c r="F41" s="22">
        <v>8</v>
      </c>
      <c r="G41" s="22"/>
    </row>
    <row r="42" spans="1:7" ht="24" customHeight="1">
      <c r="A42" s="20">
        <v>39</v>
      </c>
      <c r="B42" s="21" t="s">
        <v>23</v>
      </c>
      <c r="C42" s="191" t="s">
        <v>1068</v>
      </c>
      <c r="D42" s="20" t="s">
        <v>229</v>
      </c>
      <c r="E42" s="22" t="s">
        <v>417</v>
      </c>
      <c r="F42" s="22">
        <v>10</v>
      </c>
      <c r="G42" s="22"/>
    </row>
    <row r="43" spans="1:7" ht="24" customHeight="1">
      <c r="A43" s="20">
        <v>40</v>
      </c>
      <c r="B43" s="21" t="s">
        <v>23</v>
      </c>
      <c r="C43" s="191" t="s">
        <v>1068</v>
      </c>
      <c r="D43" s="20" t="s">
        <v>229</v>
      </c>
      <c r="E43" s="22" t="s">
        <v>431</v>
      </c>
      <c r="F43" s="22">
        <v>12</v>
      </c>
      <c r="G43" s="22"/>
    </row>
    <row r="44" spans="1:7" ht="24" customHeight="1">
      <c r="A44" s="20">
        <v>41</v>
      </c>
      <c r="B44" s="21" t="s">
        <v>23</v>
      </c>
      <c r="C44" s="191" t="s">
        <v>1068</v>
      </c>
      <c r="D44" s="17" t="s">
        <v>219</v>
      </c>
      <c r="E44" s="36" t="s">
        <v>238</v>
      </c>
      <c r="F44" s="35">
        <f>SUM(F33:F43)</f>
        <v>322</v>
      </c>
      <c r="G44" s="36"/>
    </row>
    <row r="45" spans="1:7" ht="24" customHeight="1">
      <c r="A45" s="20">
        <v>42</v>
      </c>
      <c r="B45" s="21" t="s">
        <v>23</v>
      </c>
      <c r="C45" s="191" t="s">
        <v>1068</v>
      </c>
      <c r="D45" s="20" t="s">
        <v>239</v>
      </c>
      <c r="E45" s="22" t="s">
        <v>985</v>
      </c>
      <c r="F45" s="22">
        <v>80</v>
      </c>
      <c r="G45" s="22"/>
    </row>
    <row r="46" spans="1:7" ht="24" customHeight="1">
      <c r="A46" s="20">
        <v>43</v>
      </c>
      <c r="B46" s="21" t="s">
        <v>23</v>
      </c>
      <c r="C46" s="191" t="s">
        <v>1068</v>
      </c>
      <c r="D46" s="20" t="s">
        <v>239</v>
      </c>
      <c r="E46" s="22" t="s">
        <v>241</v>
      </c>
      <c r="F46" s="22">
        <v>60</v>
      </c>
      <c r="G46" s="22"/>
    </row>
    <row r="47" spans="1:7" ht="24" customHeight="1">
      <c r="A47" s="20">
        <v>44</v>
      </c>
      <c r="B47" s="21" t="s">
        <v>23</v>
      </c>
      <c r="C47" s="191" t="s">
        <v>1068</v>
      </c>
      <c r="D47" s="17" t="s">
        <v>219</v>
      </c>
      <c r="E47" s="36" t="s">
        <v>242</v>
      </c>
      <c r="F47" s="36">
        <f>SUM(F45:F46)</f>
        <v>140</v>
      </c>
      <c r="G47" s="36"/>
    </row>
    <row r="48" spans="1:7" ht="24" customHeight="1">
      <c r="A48" s="20">
        <v>45</v>
      </c>
      <c r="B48" s="21" t="s">
        <v>23</v>
      </c>
      <c r="C48" s="191" t="s">
        <v>1068</v>
      </c>
      <c r="D48" s="20" t="s">
        <v>259</v>
      </c>
      <c r="E48" s="28" t="s">
        <v>432</v>
      </c>
      <c r="F48" s="22">
        <v>45</v>
      </c>
      <c r="G48" s="20"/>
    </row>
    <row r="49" spans="1:8" ht="24" customHeight="1">
      <c r="A49" s="20">
        <v>46</v>
      </c>
      <c r="B49" s="21" t="s">
        <v>23</v>
      </c>
      <c r="C49" s="191" t="s">
        <v>1068</v>
      </c>
      <c r="D49" s="17" t="s">
        <v>219</v>
      </c>
      <c r="E49" s="44" t="s">
        <v>261</v>
      </c>
      <c r="F49" s="36">
        <f>SUM(F48:F48)</f>
        <v>45</v>
      </c>
      <c r="G49" s="45"/>
    </row>
    <row r="50" spans="1:8" ht="24" customHeight="1">
      <c r="A50" s="20">
        <v>47</v>
      </c>
      <c r="B50" s="21" t="s">
        <v>23</v>
      </c>
      <c r="C50" s="191" t="s">
        <v>1068</v>
      </c>
      <c r="D50" s="20" t="s">
        <v>243</v>
      </c>
      <c r="E50" s="22" t="s">
        <v>363</v>
      </c>
      <c r="F50" s="22">
        <v>0</v>
      </c>
      <c r="G50" s="46" t="s">
        <v>1013</v>
      </c>
      <c r="H50" s="47"/>
    </row>
    <row r="51" spans="1:8" ht="24" customHeight="1">
      <c r="A51" s="20">
        <v>48</v>
      </c>
      <c r="B51" s="21" t="s">
        <v>23</v>
      </c>
      <c r="C51" s="191" t="s">
        <v>1068</v>
      </c>
      <c r="D51" s="20" t="s">
        <v>243</v>
      </c>
      <c r="E51" s="22" t="s">
        <v>364</v>
      </c>
      <c r="F51" s="22">
        <v>0</v>
      </c>
      <c r="G51" s="46" t="s">
        <v>1013</v>
      </c>
      <c r="H51" s="47"/>
    </row>
    <row r="52" spans="1:8" ht="24" customHeight="1">
      <c r="A52" s="20">
        <v>49</v>
      </c>
      <c r="B52" s="21" t="s">
        <v>23</v>
      </c>
      <c r="C52" s="191" t="s">
        <v>1068</v>
      </c>
      <c r="D52" s="20" t="s">
        <v>243</v>
      </c>
      <c r="E52" s="22" t="s">
        <v>246</v>
      </c>
      <c r="F52" s="22">
        <v>0</v>
      </c>
      <c r="G52" s="46" t="s">
        <v>1013</v>
      </c>
      <c r="H52" s="47"/>
    </row>
    <row r="53" spans="1:8" ht="24" customHeight="1">
      <c r="A53" s="20">
        <v>50</v>
      </c>
      <c r="B53" s="21" t="s">
        <v>23</v>
      </c>
      <c r="C53" s="191" t="s">
        <v>1068</v>
      </c>
      <c r="D53" s="20" t="s">
        <v>243</v>
      </c>
      <c r="E53" s="22" t="s">
        <v>247</v>
      </c>
      <c r="F53" s="22">
        <v>0</v>
      </c>
      <c r="G53" s="46" t="s">
        <v>1013</v>
      </c>
      <c r="H53" s="47"/>
    </row>
    <row r="54" spans="1:8" ht="24" customHeight="1">
      <c r="A54" s="20">
        <v>51</v>
      </c>
      <c r="B54" s="21" t="s">
        <v>23</v>
      </c>
      <c r="C54" s="191" t="s">
        <v>1068</v>
      </c>
      <c r="D54" s="17" t="s">
        <v>219</v>
      </c>
      <c r="E54" s="36" t="s">
        <v>1014</v>
      </c>
      <c r="F54" s="36">
        <f>SUM(F50:F53)</f>
        <v>0</v>
      </c>
      <c r="G54" s="48" t="s">
        <v>1013</v>
      </c>
      <c r="H54" s="47"/>
    </row>
    <row r="55" spans="1:8" ht="24" customHeight="1">
      <c r="A55" s="20">
        <v>52</v>
      </c>
      <c r="B55" s="21" t="s">
        <v>23</v>
      </c>
      <c r="C55" s="191" t="s">
        <v>1068</v>
      </c>
      <c r="D55" s="38" t="s">
        <v>249</v>
      </c>
      <c r="E55" s="22" t="s">
        <v>1022</v>
      </c>
      <c r="F55" s="22">
        <v>7.5</v>
      </c>
      <c r="G55" s="22"/>
    </row>
    <row r="56" spans="1:8" ht="24" customHeight="1">
      <c r="A56" s="20">
        <v>53</v>
      </c>
      <c r="B56" s="21" t="s">
        <v>23</v>
      </c>
      <c r="C56" s="191" t="s">
        <v>1068</v>
      </c>
      <c r="D56" s="38" t="s">
        <v>249</v>
      </c>
      <c r="E56" s="22" t="s">
        <v>1016</v>
      </c>
      <c r="F56" s="22">
        <v>13.5</v>
      </c>
      <c r="G56" s="49"/>
    </row>
    <row r="57" spans="1:8" ht="24" customHeight="1">
      <c r="A57" s="20">
        <v>54</v>
      </c>
      <c r="B57" s="21" t="s">
        <v>23</v>
      </c>
      <c r="C57" s="191" t="s">
        <v>1068</v>
      </c>
      <c r="D57" s="38" t="s">
        <v>249</v>
      </c>
      <c r="E57" s="22" t="s">
        <v>1023</v>
      </c>
      <c r="F57" s="22">
        <v>22.5</v>
      </c>
      <c r="G57" s="22"/>
    </row>
    <row r="58" spans="1:8" ht="24" customHeight="1">
      <c r="A58" s="20">
        <v>55</v>
      </c>
      <c r="B58" s="21" t="s">
        <v>23</v>
      </c>
      <c r="C58" s="191" t="s">
        <v>1068</v>
      </c>
      <c r="D58" s="38" t="s">
        <v>249</v>
      </c>
      <c r="E58" s="22" t="s">
        <v>284</v>
      </c>
      <c r="F58" s="22">
        <v>10</v>
      </c>
      <c r="G58" s="22"/>
    </row>
    <row r="59" spans="1:8" ht="24" customHeight="1">
      <c r="A59" s="20">
        <v>56</v>
      </c>
      <c r="B59" s="21" t="s">
        <v>23</v>
      </c>
      <c r="C59" s="191" t="s">
        <v>1068</v>
      </c>
      <c r="D59" s="38" t="s">
        <v>249</v>
      </c>
      <c r="E59" s="22" t="s">
        <v>454</v>
      </c>
      <c r="F59" s="22">
        <v>0</v>
      </c>
      <c r="G59" s="50" t="s">
        <v>1013</v>
      </c>
    </row>
    <row r="60" spans="1:8" ht="24" customHeight="1">
      <c r="A60" s="20">
        <v>57</v>
      </c>
      <c r="B60" s="21" t="s">
        <v>23</v>
      </c>
      <c r="C60" s="191" t="s">
        <v>1068</v>
      </c>
      <c r="D60" s="38" t="s">
        <v>249</v>
      </c>
      <c r="E60" s="22" t="s">
        <v>1024</v>
      </c>
      <c r="F60" s="22">
        <v>30</v>
      </c>
      <c r="G60" s="22"/>
    </row>
    <row r="61" spans="1:8" ht="34.049999999999997" customHeight="1">
      <c r="A61" s="20">
        <v>58</v>
      </c>
      <c r="B61" s="21" t="s">
        <v>23</v>
      </c>
      <c r="C61" s="191" t="s">
        <v>1068</v>
      </c>
      <c r="D61" s="38" t="s">
        <v>249</v>
      </c>
      <c r="E61" s="28" t="s">
        <v>1025</v>
      </c>
      <c r="F61" s="22">
        <v>70</v>
      </c>
      <c r="G61" s="51"/>
    </row>
    <row r="62" spans="1:8" ht="34.049999999999997" customHeight="1">
      <c r="A62" s="20">
        <v>59</v>
      </c>
      <c r="B62" s="21" t="s">
        <v>23</v>
      </c>
      <c r="C62" s="191" t="s">
        <v>1068</v>
      </c>
      <c r="D62" s="38" t="s">
        <v>249</v>
      </c>
      <c r="E62" s="26" t="s">
        <v>1026</v>
      </c>
      <c r="F62" s="22">
        <v>20</v>
      </c>
      <c r="G62" s="51"/>
    </row>
    <row r="63" spans="1:8" ht="37.049999999999997" customHeight="1">
      <c r="A63" s="20">
        <v>60</v>
      </c>
      <c r="B63" s="21" t="s">
        <v>23</v>
      </c>
      <c r="C63" s="191" t="s">
        <v>1068</v>
      </c>
      <c r="D63" s="38" t="s">
        <v>249</v>
      </c>
      <c r="E63" s="28" t="s">
        <v>1027</v>
      </c>
      <c r="F63" s="22">
        <v>50</v>
      </c>
      <c r="G63" s="51"/>
    </row>
    <row r="64" spans="1:8" ht="24" customHeight="1">
      <c r="A64" s="20">
        <v>61</v>
      </c>
      <c r="B64" s="21" t="s">
        <v>23</v>
      </c>
      <c r="C64" s="191" t="s">
        <v>1068</v>
      </c>
      <c r="D64" s="17" t="s">
        <v>219</v>
      </c>
      <c r="E64" s="36" t="s">
        <v>255</v>
      </c>
      <c r="F64" s="36">
        <f>SUM(F55:F63)</f>
        <v>223.5</v>
      </c>
      <c r="G64" s="36"/>
    </row>
    <row r="65" spans="1:7" ht="24" customHeight="1">
      <c r="A65" s="20">
        <v>62</v>
      </c>
      <c r="B65" s="21" t="s">
        <v>23</v>
      </c>
      <c r="C65" s="191" t="s">
        <v>1068</v>
      </c>
      <c r="D65" s="20" t="s">
        <v>989</v>
      </c>
      <c r="E65" s="22" t="s">
        <v>990</v>
      </c>
      <c r="F65" s="23">
        <v>30</v>
      </c>
      <c r="G65" s="22"/>
    </row>
    <row r="66" spans="1:7" ht="24" customHeight="1">
      <c r="A66" s="20">
        <v>63</v>
      </c>
      <c r="B66" s="21" t="s">
        <v>23</v>
      </c>
      <c r="C66" s="191" t="s">
        <v>1068</v>
      </c>
      <c r="D66" s="20" t="s">
        <v>989</v>
      </c>
      <c r="E66" s="22" t="s">
        <v>991</v>
      </c>
      <c r="F66" s="22">
        <v>4</v>
      </c>
      <c r="G66" s="51"/>
    </row>
    <row r="67" spans="1:7" ht="24" customHeight="1">
      <c r="A67" s="20">
        <v>64</v>
      </c>
      <c r="B67" s="21" t="s">
        <v>23</v>
      </c>
      <c r="C67" s="191" t="s">
        <v>1068</v>
      </c>
      <c r="D67" s="17" t="s">
        <v>219</v>
      </c>
      <c r="E67" s="36" t="s">
        <v>258</v>
      </c>
      <c r="F67" s="36">
        <f>SUM(F65+F66)</f>
        <v>34</v>
      </c>
      <c r="G67" s="36"/>
    </row>
    <row r="68" spans="1:7" ht="24" customHeight="1">
      <c r="A68" s="20">
        <v>65</v>
      </c>
      <c r="B68" s="21" t="s">
        <v>23</v>
      </c>
      <c r="C68" s="191" t="s">
        <v>1068</v>
      </c>
      <c r="D68" s="20" t="s">
        <v>262</v>
      </c>
      <c r="E68" s="22" t="s">
        <v>425</v>
      </c>
      <c r="F68" s="22">
        <v>255</v>
      </c>
      <c r="G68" s="22"/>
    </row>
    <row r="69" spans="1:7" ht="24" customHeight="1">
      <c r="A69" s="20">
        <v>66</v>
      </c>
      <c r="B69" s="21" t="s">
        <v>23</v>
      </c>
      <c r="C69" s="191" t="s">
        <v>1068</v>
      </c>
      <c r="D69" s="20" t="s">
        <v>262</v>
      </c>
      <c r="E69" s="22" t="s">
        <v>999</v>
      </c>
      <c r="F69" s="22">
        <v>20</v>
      </c>
      <c r="G69" s="22"/>
    </row>
    <row r="70" spans="1:7" ht="24" customHeight="1">
      <c r="A70" s="20">
        <v>67</v>
      </c>
      <c r="B70" s="21" t="s">
        <v>23</v>
      </c>
      <c r="C70" s="191" t="s">
        <v>1068</v>
      </c>
      <c r="D70" s="20" t="s">
        <v>262</v>
      </c>
      <c r="E70" s="22" t="s">
        <v>264</v>
      </c>
      <c r="F70" s="22">
        <v>40</v>
      </c>
      <c r="G70" s="22"/>
    </row>
    <row r="71" spans="1:7" ht="24" customHeight="1">
      <c r="A71" s="20">
        <v>68</v>
      </c>
      <c r="B71" s="21" t="s">
        <v>23</v>
      </c>
      <c r="C71" s="191" t="s">
        <v>1068</v>
      </c>
      <c r="D71" s="20" t="s">
        <v>262</v>
      </c>
      <c r="E71" s="22" t="s">
        <v>265</v>
      </c>
      <c r="F71" s="22">
        <v>40</v>
      </c>
      <c r="G71" s="22"/>
    </row>
    <row r="72" spans="1:7" ht="24" customHeight="1">
      <c r="A72" s="20">
        <v>69</v>
      </c>
      <c r="B72" s="21" t="s">
        <v>23</v>
      </c>
      <c r="C72" s="191" t="s">
        <v>1068</v>
      </c>
      <c r="D72" s="17" t="s">
        <v>219</v>
      </c>
      <c r="E72" s="36" t="s">
        <v>266</v>
      </c>
      <c r="F72" s="36">
        <f>SUM(F68:F71)</f>
        <v>355</v>
      </c>
      <c r="G72" s="36"/>
    </row>
    <row r="73" spans="1:7" ht="24" customHeight="1">
      <c r="A73" s="20">
        <v>70</v>
      </c>
      <c r="B73" s="21" t="s">
        <v>23</v>
      </c>
      <c r="C73" s="191" t="s">
        <v>1068</v>
      </c>
      <c r="D73" s="17" t="s">
        <v>267</v>
      </c>
      <c r="E73" s="35" t="s">
        <v>1028</v>
      </c>
      <c r="F73" s="35">
        <v>2035.5</v>
      </c>
      <c r="G73" s="36"/>
    </row>
    <row r="74" spans="1:7" ht="24" customHeight="1">
      <c r="A74" s="244" t="s">
        <v>1059</v>
      </c>
      <c r="B74" s="232"/>
      <c r="C74" s="232"/>
      <c r="D74" s="232"/>
      <c r="E74" s="232"/>
      <c r="F74" s="232"/>
      <c r="G74" s="233"/>
    </row>
  </sheetData>
  <autoFilter ref="A3:G74" xr:uid="{00000000-0009-0000-0000-000046000000}"/>
  <mergeCells count="3">
    <mergeCell ref="A1:G1"/>
    <mergeCell ref="A2:G2"/>
    <mergeCell ref="A74:G74"/>
  </mergeCells>
  <phoneticPr fontId="23" type="noConversion"/>
  <pageMargins left="0.28000000000000003" right="0.19" top="0.33" bottom="0.47" header="0.32" footer="0.26"/>
  <pageSetup paperSize="9" orientation="portrait" r:id="rId1"/>
  <headerFooter>
    <oddFooter>&amp;C&amp;8第 &amp;P 页，共 &amp;N 页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69"/>
  <sheetViews>
    <sheetView view="pageBreakPreview" zoomScale="85" zoomScaleNormal="55" workbookViewId="0">
      <selection activeCell="E13" sqref="E13"/>
    </sheetView>
  </sheetViews>
  <sheetFormatPr defaultColWidth="9.796875" defaultRowHeight="15.75"/>
  <cols>
    <col min="1" max="1" width="5.33203125" style="31" customWidth="1"/>
    <col min="2" max="2" width="9.19921875" style="32" customWidth="1"/>
    <col min="3" max="3" width="15.46484375" style="31" customWidth="1"/>
    <col min="4" max="4" width="10.06640625" style="31" customWidth="1"/>
    <col min="5" max="5" width="44" style="33" customWidth="1"/>
    <col min="6" max="6" width="8.46484375" style="13" customWidth="1"/>
    <col min="7" max="7" width="7.9296875" style="13" customWidth="1"/>
    <col min="8" max="16384" width="9.796875" style="16"/>
  </cols>
  <sheetData>
    <row r="1" spans="1:7" ht="24" customHeight="1">
      <c r="A1" s="229" t="s">
        <v>1029</v>
      </c>
      <c r="B1" s="229"/>
      <c r="C1" s="229"/>
      <c r="D1" s="229"/>
      <c r="E1" s="229"/>
      <c r="F1" s="243"/>
      <c r="G1" s="243"/>
    </row>
    <row r="2" spans="1:7" ht="24" customHeight="1">
      <c r="A2" s="230" t="s">
        <v>1030</v>
      </c>
      <c r="B2" s="230"/>
      <c r="C2" s="230"/>
      <c r="D2" s="230"/>
      <c r="E2" s="230"/>
      <c r="F2" s="230"/>
      <c r="G2" s="230"/>
    </row>
    <row r="3" spans="1:7" ht="24" customHeight="1">
      <c r="A3" s="17" t="s">
        <v>203</v>
      </c>
      <c r="B3" s="18" t="s">
        <v>204</v>
      </c>
      <c r="C3" s="17" t="s">
        <v>205</v>
      </c>
      <c r="D3" s="17" t="s">
        <v>206</v>
      </c>
      <c r="E3" s="19" t="s">
        <v>207</v>
      </c>
      <c r="F3" s="19" t="s">
        <v>208</v>
      </c>
      <c r="G3" s="19" t="s">
        <v>11</v>
      </c>
    </row>
    <row r="4" spans="1:7" ht="24" customHeight="1">
      <c r="A4" s="20">
        <v>1</v>
      </c>
      <c r="B4" s="21" t="s">
        <v>127</v>
      </c>
      <c r="C4" s="21" t="s">
        <v>198</v>
      </c>
      <c r="D4" s="20" t="s">
        <v>209</v>
      </c>
      <c r="E4" s="28" t="s">
        <v>210</v>
      </c>
      <c r="F4" s="22">
        <v>24</v>
      </c>
      <c r="G4" s="22"/>
    </row>
    <row r="5" spans="1:7" ht="24" customHeight="1">
      <c r="A5" s="20">
        <v>2</v>
      </c>
      <c r="B5" s="21" t="s">
        <v>127</v>
      </c>
      <c r="C5" s="21" t="s">
        <v>198</v>
      </c>
      <c r="D5" s="20" t="s">
        <v>209</v>
      </c>
      <c r="E5" s="28" t="s">
        <v>211</v>
      </c>
      <c r="F5" s="22">
        <v>20</v>
      </c>
      <c r="G5" s="22"/>
    </row>
    <row r="6" spans="1:7" ht="24" customHeight="1">
      <c r="A6" s="20">
        <v>3</v>
      </c>
      <c r="B6" s="21" t="s">
        <v>127</v>
      </c>
      <c r="C6" s="21" t="s">
        <v>198</v>
      </c>
      <c r="D6" s="20" t="s">
        <v>209</v>
      </c>
      <c r="E6" s="28" t="s">
        <v>212</v>
      </c>
      <c r="F6" s="22">
        <v>39</v>
      </c>
      <c r="G6" s="22"/>
    </row>
    <row r="7" spans="1:7" ht="24" customHeight="1">
      <c r="A7" s="20">
        <v>4</v>
      </c>
      <c r="B7" s="21" t="s">
        <v>127</v>
      </c>
      <c r="C7" s="21" t="s">
        <v>198</v>
      </c>
      <c r="D7" s="20" t="s">
        <v>209</v>
      </c>
      <c r="E7" s="28" t="s">
        <v>272</v>
      </c>
      <c r="F7" s="22">
        <v>39</v>
      </c>
      <c r="G7" s="22"/>
    </row>
    <row r="8" spans="1:7" ht="24" customHeight="1">
      <c r="A8" s="20">
        <v>5</v>
      </c>
      <c r="B8" s="21" t="s">
        <v>127</v>
      </c>
      <c r="C8" s="21" t="s">
        <v>198</v>
      </c>
      <c r="D8" s="20" t="s">
        <v>209</v>
      </c>
      <c r="E8" s="28" t="s">
        <v>214</v>
      </c>
      <c r="F8" s="22">
        <v>31</v>
      </c>
      <c r="G8" s="22"/>
    </row>
    <row r="9" spans="1:7" ht="24" customHeight="1">
      <c r="A9" s="20">
        <v>6</v>
      </c>
      <c r="B9" s="21" t="s">
        <v>127</v>
      </c>
      <c r="C9" s="21" t="s">
        <v>198</v>
      </c>
      <c r="D9" s="20" t="s">
        <v>209</v>
      </c>
      <c r="E9" s="28" t="s">
        <v>312</v>
      </c>
      <c r="F9" s="22">
        <v>12</v>
      </c>
      <c r="G9" s="22"/>
    </row>
    <row r="10" spans="1:7" ht="24" customHeight="1">
      <c r="A10" s="20">
        <v>7</v>
      </c>
      <c r="B10" s="21" t="s">
        <v>127</v>
      </c>
      <c r="C10" s="21" t="s">
        <v>198</v>
      </c>
      <c r="D10" s="20" t="s">
        <v>209</v>
      </c>
      <c r="E10" s="28" t="s">
        <v>216</v>
      </c>
      <c r="F10" s="34">
        <v>50</v>
      </c>
      <c r="G10" s="22"/>
    </row>
    <row r="11" spans="1:7" ht="24" customHeight="1">
      <c r="A11" s="20">
        <v>8</v>
      </c>
      <c r="B11" s="21" t="s">
        <v>127</v>
      </c>
      <c r="C11" s="21" t="s">
        <v>198</v>
      </c>
      <c r="D11" s="20" t="s">
        <v>209</v>
      </c>
      <c r="E11" s="28" t="s">
        <v>292</v>
      </c>
      <c r="F11" s="22">
        <v>36</v>
      </c>
      <c r="G11" s="22"/>
    </row>
    <row r="12" spans="1:7" ht="24" customHeight="1">
      <c r="A12" s="20">
        <v>9</v>
      </c>
      <c r="B12" s="21" t="s">
        <v>127</v>
      </c>
      <c r="C12" s="21" t="s">
        <v>198</v>
      </c>
      <c r="D12" s="20" t="s">
        <v>209</v>
      </c>
      <c r="E12" s="28" t="s">
        <v>217</v>
      </c>
      <c r="F12" s="22">
        <v>75</v>
      </c>
      <c r="G12" s="20"/>
    </row>
    <row r="13" spans="1:7" ht="24" customHeight="1">
      <c r="A13" s="20">
        <v>10</v>
      </c>
      <c r="B13" s="21" t="s">
        <v>127</v>
      </c>
      <c r="C13" s="21" t="s">
        <v>198</v>
      </c>
      <c r="D13" s="20" t="s">
        <v>209</v>
      </c>
      <c r="E13" s="28" t="s">
        <v>218</v>
      </c>
      <c r="F13" s="22">
        <v>10</v>
      </c>
      <c r="G13" s="22"/>
    </row>
    <row r="14" spans="1:7" ht="24" customHeight="1">
      <c r="A14" s="20">
        <v>11</v>
      </c>
      <c r="B14" s="21" t="s">
        <v>127</v>
      </c>
      <c r="C14" s="21" t="s">
        <v>198</v>
      </c>
      <c r="D14" s="17" t="s">
        <v>219</v>
      </c>
      <c r="E14" s="35" t="s">
        <v>220</v>
      </c>
      <c r="F14" s="36">
        <f>SUM(F4:F13)</f>
        <v>336</v>
      </c>
      <c r="G14" s="36"/>
    </row>
    <row r="15" spans="1:7" ht="24" customHeight="1">
      <c r="A15" s="20">
        <v>12</v>
      </c>
      <c r="B15" s="21" t="s">
        <v>127</v>
      </c>
      <c r="C15" s="21" t="s">
        <v>198</v>
      </c>
      <c r="D15" s="20" t="s">
        <v>401</v>
      </c>
      <c r="E15" s="28" t="s">
        <v>402</v>
      </c>
      <c r="F15" s="22">
        <v>44</v>
      </c>
      <c r="G15" s="22"/>
    </row>
    <row r="16" spans="1:7" ht="24" customHeight="1">
      <c r="A16" s="20">
        <v>13</v>
      </c>
      <c r="B16" s="21" t="s">
        <v>127</v>
      </c>
      <c r="C16" s="21" t="s">
        <v>198</v>
      </c>
      <c r="D16" s="20" t="s">
        <v>401</v>
      </c>
      <c r="E16" s="28" t="s">
        <v>403</v>
      </c>
      <c r="F16" s="22">
        <v>44</v>
      </c>
      <c r="G16" s="22"/>
    </row>
    <row r="17" spans="1:7" ht="24" customHeight="1">
      <c r="A17" s="20">
        <v>14</v>
      </c>
      <c r="B17" s="21" t="s">
        <v>127</v>
      </c>
      <c r="C17" s="21" t="s">
        <v>198</v>
      </c>
      <c r="D17" s="20" t="s">
        <v>401</v>
      </c>
      <c r="E17" s="28" t="s">
        <v>404</v>
      </c>
      <c r="F17" s="22">
        <v>160</v>
      </c>
      <c r="G17" s="22"/>
    </row>
    <row r="18" spans="1:7" ht="24" customHeight="1">
      <c r="A18" s="20">
        <v>15</v>
      </c>
      <c r="B18" s="21" t="s">
        <v>127</v>
      </c>
      <c r="C18" s="21" t="s">
        <v>198</v>
      </c>
      <c r="D18" s="20" t="s">
        <v>401</v>
      </c>
      <c r="E18" s="28" t="s">
        <v>405</v>
      </c>
      <c r="F18" s="22">
        <v>80</v>
      </c>
      <c r="G18" s="22"/>
    </row>
    <row r="19" spans="1:7" ht="24" customHeight="1">
      <c r="A19" s="20">
        <v>16</v>
      </c>
      <c r="B19" s="21" t="s">
        <v>127</v>
      </c>
      <c r="C19" s="21" t="s">
        <v>198</v>
      </c>
      <c r="D19" s="20" t="s">
        <v>401</v>
      </c>
      <c r="E19" s="28" t="s">
        <v>406</v>
      </c>
      <c r="F19" s="22">
        <v>30</v>
      </c>
      <c r="G19" s="22"/>
    </row>
    <row r="20" spans="1:7" ht="24" customHeight="1">
      <c r="A20" s="20">
        <v>17</v>
      </c>
      <c r="B20" s="21" t="s">
        <v>127</v>
      </c>
      <c r="C20" s="21" t="s">
        <v>198</v>
      </c>
      <c r="D20" s="20" t="s">
        <v>401</v>
      </c>
      <c r="E20" s="28" t="s">
        <v>459</v>
      </c>
      <c r="F20" s="22">
        <v>300</v>
      </c>
      <c r="G20" s="22"/>
    </row>
    <row r="21" spans="1:7" ht="24" customHeight="1">
      <c r="A21" s="20">
        <v>18</v>
      </c>
      <c r="B21" s="21" t="s">
        <v>127</v>
      </c>
      <c r="C21" s="21" t="s">
        <v>198</v>
      </c>
      <c r="D21" s="20" t="s">
        <v>401</v>
      </c>
      <c r="E21" s="28" t="s">
        <v>460</v>
      </c>
      <c r="F21" s="22">
        <v>16</v>
      </c>
      <c r="G21" s="22"/>
    </row>
    <row r="22" spans="1:7" ht="24" customHeight="1">
      <c r="A22" s="20">
        <v>19</v>
      </c>
      <c r="B22" s="21" t="s">
        <v>127</v>
      </c>
      <c r="C22" s="21" t="s">
        <v>198</v>
      </c>
      <c r="D22" s="17" t="s">
        <v>219</v>
      </c>
      <c r="E22" s="35" t="s">
        <v>409</v>
      </c>
      <c r="F22" s="36">
        <f>SUM(F15:F21)</f>
        <v>674</v>
      </c>
      <c r="G22" s="36"/>
    </row>
    <row r="23" spans="1:7" ht="24" customHeight="1">
      <c r="A23" s="20">
        <v>20</v>
      </c>
      <c r="B23" s="21" t="s">
        <v>127</v>
      </c>
      <c r="C23" s="21" t="s">
        <v>198</v>
      </c>
      <c r="D23" s="20" t="s">
        <v>221</v>
      </c>
      <c r="E23" s="28" t="s">
        <v>222</v>
      </c>
      <c r="F23" s="22">
        <v>14</v>
      </c>
      <c r="G23" s="22"/>
    </row>
    <row r="24" spans="1:7" ht="24" customHeight="1">
      <c r="A24" s="20">
        <v>21</v>
      </c>
      <c r="B24" s="21" t="s">
        <v>127</v>
      </c>
      <c r="C24" s="21" t="s">
        <v>198</v>
      </c>
      <c r="D24" s="20" t="s">
        <v>221</v>
      </c>
      <c r="E24" s="28" t="s">
        <v>273</v>
      </c>
      <c r="F24" s="22">
        <v>30</v>
      </c>
      <c r="G24" s="22"/>
    </row>
    <row r="25" spans="1:7" ht="24" customHeight="1">
      <c r="A25" s="20">
        <v>22</v>
      </c>
      <c r="B25" s="21" t="s">
        <v>127</v>
      </c>
      <c r="C25" s="21" t="s">
        <v>198</v>
      </c>
      <c r="D25" s="20" t="s">
        <v>221</v>
      </c>
      <c r="E25" s="28" t="s">
        <v>1031</v>
      </c>
      <c r="F25" s="22">
        <v>0</v>
      </c>
      <c r="G25" s="20" t="s">
        <v>1013</v>
      </c>
    </row>
    <row r="26" spans="1:7" ht="24" customHeight="1">
      <c r="A26" s="20">
        <v>23</v>
      </c>
      <c r="B26" s="21" t="s">
        <v>127</v>
      </c>
      <c r="C26" s="21" t="s">
        <v>198</v>
      </c>
      <c r="D26" s="20" t="s">
        <v>221</v>
      </c>
      <c r="E26" s="28" t="s">
        <v>224</v>
      </c>
      <c r="F26" s="22">
        <v>20</v>
      </c>
      <c r="G26" s="20"/>
    </row>
    <row r="27" spans="1:7" ht="24" customHeight="1">
      <c r="A27" s="20">
        <v>24</v>
      </c>
      <c r="B27" s="21" t="s">
        <v>127</v>
      </c>
      <c r="C27" s="21" t="s">
        <v>198</v>
      </c>
      <c r="D27" s="20" t="s">
        <v>221</v>
      </c>
      <c r="E27" s="28" t="s">
        <v>225</v>
      </c>
      <c r="F27" s="22">
        <v>30</v>
      </c>
      <c r="G27" s="20"/>
    </row>
    <row r="28" spans="1:7" ht="24" customHeight="1">
      <c r="A28" s="20">
        <v>25</v>
      </c>
      <c r="B28" s="21" t="s">
        <v>127</v>
      </c>
      <c r="C28" s="21" t="s">
        <v>198</v>
      </c>
      <c r="D28" s="20" t="s">
        <v>221</v>
      </c>
      <c r="E28" s="28" t="s">
        <v>226</v>
      </c>
      <c r="F28" s="22">
        <v>30</v>
      </c>
      <c r="G28" s="20"/>
    </row>
    <row r="29" spans="1:7" ht="24" customHeight="1">
      <c r="A29" s="20">
        <v>26</v>
      </c>
      <c r="B29" s="21" t="s">
        <v>127</v>
      </c>
      <c r="C29" s="21" t="s">
        <v>198</v>
      </c>
      <c r="D29" s="20" t="s">
        <v>221</v>
      </c>
      <c r="E29" s="28" t="s">
        <v>391</v>
      </c>
      <c r="F29" s="22">
        <v>20</v>
      </c>
      <c r="G29" s="20"/>
    </row>
    <row r="30" spans="1:7" ht="24" customHeight="1">
      <c r="A30" s="20">
        <v>27</v>
      </c>
      <c r="B30" s="21" t="s">
        <v>127</v>
      </c>
      <c r="C30" s="21" t="s">
        <v>198</v>
      </c>
      <c r="D30" s="17" t="s">
        <v>219</v>
      </c>
      <c r="E30" s="35" t="s">
        <v>228</v>
      </c>
      <c r="F30" s="35">
        <f>SUM(F23:F29)</f>
        <v>144</v>
      </c>
      <c r="G30" s="17"/>
    </row>
    <row r="31" spans="1:7" ht="24" customHeight="1">
      <c r="A31" s="20">
        <v>28</v>
      </c>
      <c r="B31" s="21" t="s">
        <v>127</v>
      </c>
      <c r="C31" s="21" t="s">
        <v>198</v>
      </c>
      <c r="D31" s="20" t="s">
        <v>229</v>
      </c>
      <c r="E31" s="28" t="s">
        <v>230</v>
      </c>
      <c r="F31" s="22">
        <v>14</v>
      </c>
      <c r="G31" s="20"/>
    </row>
    <row r="32" spans="1:7" ht="24" customHeight="1">
      <c r="A32" s="20">
        <v>29</v>
      </c>
      <c r="B32" s="21" t="s">
        <v>127</v>
      </c>
      <c r="C32" s="21" t="s">
        <v>198</v>
      </c>
      <c r="D32" s="20" t="s">
        <v>229</v>
      </c>
      <c r="E32" s="28" t="s">
        <v>696</v>
      </c>
      <c r="F32" s="22">
        <v>0</v>
      </c>
      <c r="G32" s="20" t="s">
        <v>1013</v>
      </c>
    </row>
    <row r="33" spans="1:7" ht="24" customHeight="1">
      <c r="A33" s="20">
        <v>30</v>
      </c>
      <c r="B33" s="21" t="s">
        <v>127</v>
      </c>
      <c r="C33" s="21" t="s">
        <v>198</v>
      </c>
      <c r="D33" s="20" t="s">
        <v>229</v>
      </c>
      <c r="E33" s="28" t="s">
        <v>231</v>
      </c>
      <c r="F33" s="22">
        <v>65</v>
      </c>
      <c r="G33" s="20"/>
    </row>
    <row r="34" spans="1:7" ht="24" customHeight="1">
      <c r="A34" s="20">
        <v>31</v>
      </c>
      <c r="B34" s="21" t="s">
        <v>127</v>
      </c>
      <c r="C34" s="21" t="s">
        <v>198</v>
      </c>
      <c r="D34" s="20" t="s">
        <v>229</v>
      </c>
      <c r="E34" s="28" t="s">
        <v>385</v>
      </c>
      <c r="F34" s="22">
        <v>0</v>
      </c>
      <c r="G34" s="20" t="s">
        <v>1013</v>
      </c>
    </row>
    <row r="35" spans="1:7" ht="24" customHeight="1">
      <c r="A35" s="20">
        <v>32</v>
      </c>
      <c r="B35" s="21" t="s">
        <v>127</v>
      </c>
      <c r="C35" s="21" t="s">
        <v>198</v>
      </c>
      <c r="D35" s="20" t="s">
        <v>229</v>
      </c>
      <c r="E35" s="28" t="s">
        <v>412</v>
      </c>
      <c r="F35" s="22">
        <v>50</v>
      </c>
      <c r="G35" s="22"/>
    </row>
    <row r="36" spans="1:7" ht="24" customHeight="1">
      <c r="A36" s="20">
        <v>33</v>
      </c>
      <c r="B36" s="21" t="s">
        <v>127</v>
      </c>
      <c r="C36" s="21" t="s">
        <v>198</v>
      </c>
      <c r="D36" s="20" t="s">
        <v>229</v>
      </c>
      <c r="E36" s="28" t="s">
        <v>463</v>
      </c>
      <c r="F36" s="22">
        <v>30</v>
      </c>
      <c r="G36" s="22"/>
    </row>
    <row r="37" spans="1:7" ht="24" customHeight="1">
      <c r="A37" s="20">
        <v>34</v>
      </c>
      <c r="B37" s="21" t="s">
        <v>127</v>
      </c>
      <c r="C37" s="21" t="s">
        <v>198</v>
      </c>
      <c r="D37" s="20" t="s">
        <v>229</v>
      </c>
      <c r="E37" s="28" t="s">
        <v>464</v>
      </c>
      <c r="F37" s="22">
        <v>30</v>
      </c>
      <c r="G37" s="22"/>
    </row>
    <row r="38" spans="1:7" ht="24" customHeight="1">
      <c r="A38" s="20">
        <v>35</v>
      </c>
      <c r="B38" s="21" t="s">
        <v>127</v>
      </c>
      <c r="C38" s="21" t="s">
        <v>198</v>
      </c>
      <c r="D38" s="20" t="s">
        <v>229</v>
      </c>
      <c r="E38" s="28" t="s">
        <v>1032</v>
      </c>
      <c r="F38" s="22">
        <v>20</v>
      </c>
      <c r="G38" s="22"/>
    </row>
    <row r="39" spans="1:7" ht="24" customHeight="1">
      <c r="A39" s="20">
        <v>36</v>
      </c>
      <c r="B39" s="21" t="s">
        <v>127</v>
      </c>
      <c r="C39" s="21" t="s">
        <v>198</v>
      </c>
      <c r="D39" s="20" t="s">
        <v>229</v>
      </c>
      <c r="E39" s="28" t="s">
        <v>700</v>
      </c>
      <c r="F39" s="22">
        <v>20</v>
      </c>
      <c r="G39" s="22"/>
    </row>
    <row r="40" spans="1:7" ht="24" customHeight="1">
      <c r="A40" s="20">
        <v>37</v>
      </c>
      <c r="B40" s="21" t="s">
        <v>127</v>
      </c>
      <c r="C40" s="21" t="s">
        <v>198</v>
      </c>
      <c r="D40" s="20" t="s">
        <v>229</v>
      </c>
      <c r="E40" s="28" t="s">
        <v>1033</v>
      </c>
      <c r="F40" s="22">
        <v>8</v>
      </c>
      <c r="G40" s="22"/>
    </row>
    <row r="41" spans="1:7" ht="24" customHeight="1">
      <c r="A41" s="20">
        <v>38</v>
      </c>
      <c r="B41" s="21" t="s">
        <v>127</v>
      </c>
      <c r="C41" s="21" t="s">
        <v>198</v>
      </c>
      <c r="D41" s="20" t="s">
        <v>229</v>
      </c>
      <c r="E41" s="28" t="s">
        <v>415</v>
      </c>
      <c r="F41" s="22">
        <v>140</v>
      </c>
      <c r="G41" s="22"/>
    </row>
    <row r="42" spans="1:7" ht="24" customHeight="1">
      <c r="A42" s="20">
        <v>39</v>
      </c>
      <c r="B42" s="21" t="s">
        <v>127</v>
      </c>
      <c r="C42" s="21" t="s">
        <v>198</v>
      </c>
      <c r="D42" s="17" t="s">
        <v>219</v>
      </c>
      <c r="E42" s="35" t="s">
        <v>238</v>
      </c>
      <c r="F42" s="35">
        <f>SUM(F31:F41)</f>
        <v>377</v>
      </c>
      <c r="G42" s="36"/>
    </row>
    <row r="43" spans="1:7" ht="24" customHeight="1">
      <c r="A43" s="20">
        <v>40</v>
      </c>
      <c r="B43" s="21" t="s">
        <v>127</v>
      </c>
      <c r="C43" s="21" t="s">
        <v>198</v>
      </c>
      <c r="D43" s="20" t="s">
        <v>239</v>
      </c>
      <c r="E43" s="28" t="s">
        <v>240</v>
      </c>
      <c r="F43" s="23">
        <v>90</v>
      </c>
      <c r="G43" s="22"/>
    </row>
    <row r="44" spans="1:7" ht="24" customHeight="1">
      <c r="A44" s="20">
        <v>41</v>
      </c>
      <c r="B44" s="21" t="s">
        <v>127</v>
      </c>
      <c r="C44" s="21" t="s">
        <v>198</v>
      </c>
      <c r="D44" s="20" t="s">
        <v>239</v>
      </c>
      <c r="E44" s="28" t="s">
        <v>241</v>
      </c>
      <c r="F44" s="23">
        <v>90</v>
      </c>
      <c r="G44" s="22"/>
    </row>
    <row r="45" spans="1:7" ht="24" customHeight="1">
      <c r="A45" s="20">
        <v>42</v>
      </c>
      <c r="B45" s="21" t="s">
        <v>127</v>
      </c>
      <c r="C45" s="21" t="s">
        <v>198</v>
      </c>
      <c r="D45" s="17" t="s">
        <v>219</v>
      </c>
      <c r="E45" s="35" t="s">
        <v>242</v>
      </c>
      <c r="F45" s="37">
        <f>SUM(F43:F44)</f>
        <v>180</v>
      </c>
      <c r="G45" s="36"/>
    </row>
    <row r="46" spans="1:7" ht="24" customHeight="1">
      <c r="A46" s="20">
        <v>43</v>
      </c>
      <c r="B46" s="21" t="s">
        <v>127</v>
      </c>
      <c r="C46" s="21" t="s">
        <v>198</v>
      </c>
      <c r="D46" s="38" t="s">
        <v>259</v>
      </c>
      <c r="E46" s="39" t="s">
        <v>701</v>
      </c>
      <c r="F46" s="40">
        <v>1020</v>
      </c>
      <c r="G46" s="38" t="s">
        <v>987</v>
      </c>
    </row>
    <row r="47" spans="1:7" ht="24" customHeight="1">
      <c r="A47" s="20">
        <v>44</v>
      </c>
      <c r="B47" s="21" t="s">
        <v>127</v>
      </c>
      <c r="C47" s="21" t="s">
        <v>198</v>
      </c>
      <c r="D47" s="38" t="s">
        <v>259</v>
      </c>
      <c r="E47" s="39" t="s">
        <v>1034</v>
      </c>
      <c r="F47" s="40">
        <v>102</v>
      </c>
      <c r="G47" s="38"/>
    </row>
    <row r="48" spans="1:7" ht="24" customHeight="1">
      <c r="A48" s="20">
        <v>45</v>
      </c>
      <c r="B48" s="21" t="s">
        <v>127</v>
      </c>
      <c r="C48" s="21" t="s">
        <v>198</v>
      </c>
      <c r="D48" s="38" t="s">
        <v>259</v>
      </c>
      <c r="E48" s="28" t="s">
        <v>1035</v>
      </c>
      <c r="F48" s="23">
        <v>0</v>
      </c>
      <c r="G48" s="20" t="s">
        <v>1013</v>
      </c>
    </row>
    <row r="49" spans="1:7" ht="24" customHeight="1">
      <c r="A49" s="20">
        <v>46</v>
      </c>
      <c r="B49" s="21" t="s">
        <v>127</v>
      </c>
      <c r="C49" s="21" t="s">
        <v>198</v>
      </c>
      <c r="D49" s="17" t="s">
        <v>219</v>
      </c>
      <c r="E49" s="41" t="s">
        <v>261</v>
      </c>
      <c r="F49" s="37">
        <f>SUM(F46:F48)</f>
        <v>1122</v>
      </c>
      <c r="G49" s="36"/>
    </row>
    <row r="50" spans="1:7" ht="24" customHeight="1">
      <c r="A50" s="20">
        <v>47</v>
      </c>
      <c r="B50" s="21" t="s">
        <v>127</v>
      </c>
      <c r="C50" s="21" t="s">
        <v>198</v>
      </c>
      <c r="D50" s="20" t="s">
        <v>243</v>
      </c>
      <c r="E50" s="28" t="s">
        <v>1036</v>
      </c>
      <c r="F50" s="23">
        <v>15</v>
      </c>
      <c r="G50" s="22"/>
    </row>
    <row r="51" spans="1:7" ht="24" customHeight="1">
      <c r="A51" s="20">
        <v>48</v>
      </c>
      <c r="B51" s="21" t="s">
        <v>127</v>
      </c>
      <c r="C51" s="21" t="s">
        <v>198</v>
      </c>
      <c r="D51" s="20" t="s">
        <v>243</v>
      </c>
      <c r="E51" s="28" t="s">
        <v>1037</v>
      </c>
      <c r="F51" s="23">
        <v>15</v>
      </c>
      <c r="G51" s="22"/>
    </row>
    <row r="52" spans="1:7" ht="24" customHeight="1">
      <c r="A52" s="20">
        <v>49</v>
      </c>
      <c r="B52" s="21" t="s">
        <v>127</v>
      </c>
      <c r="C52" s="21" t="s">
        <v>198</v>
      </c>
      <c r="D52" s="20" t="s">
        <v>243</v>
      </c>
      <c r="E52" s="28" t="s">
        <v>706</v>
      </c>
      <c r="F52" s="23">
        <v>25.1</v>
      </c>
      <c r="G52" s="22"/>
    </row>
    <row r="53" spans="1:7" ht="24" customHeight="1">
      <c r="A53" s="20">
        <v>50</v>
      </c>
      <c r="B53" s="21" t="s">
        <v>127</v>
      </c>
      <c r="C53" s="21" t="s">
        <v>198</v>
      </c>
      <c r="D53" s="20" t="s">
        <v>243</v>
      </c>
      <c r="E53" s="28" t="s">
        <v>247</v>
      </c>
      <c r="F53" s="23">
        <v>2</v>
      </c>
      <c r="G53" s="22"/>
    </row>
    <row r="54" spans="1:7" ht="24" customHeight="1">
      <c r="A54" s="20">
        <v>51</v>
      </c>
      <c r="B54" s="21" t="s">
        <v>127</v>
      </c>
      <c r="C54" s="21" t="s">
        <v>198</v>
      </c>
      <c r="D54" s="17" t="s">
        <v>219</v>
      </c>
      <c r="E54" s="35" t="s">
        <v>248</v>
      </c>
      <c r="F54" s="37">
        <f>SUM(F50:F53)</f>
        <v>57.1</v>
      </c>
      <c r="G54" s="36"/>
    </row>
    <row r="55" spans="1:7" ht="24" customHeight="1">
      <c r="A55" s="20">
        <v>52</v>
      </c>
      <c r="B55" s="21" t="s">
        <v>127</v>
      </c>
      <c r="C55" s="21" t="s">
        <v>198</v>
      </c>
      <c r="D55" s="20" t="s">
        <v>249</v>
      </c>
      <c r="E55" s="28" t="s">
        <v>1038</v>
      </c>
      <c r="F55" s="23">
        <v>19.5</v>
      </c>
      <c r="G55" s="22"/>
    </row>
    <row r="56" spans="1:7" ht="24" customHeight="1">
      <c r="A56" s="20">
        <v>53</v>
      </c>
      <c r="B56" s="21" t="s">
        <v>127</v>
      </c>
      <c r="C56" s="21" t="s">
        <v>198</v>
      </c>
      <c r="D56" s="20" t="s">
        <v>249</v>
      </c>
      <c r="E56" s="28" t="s">
        <v>1039</v>
      </c>
      <c r="F56" s="23">
        <v>18</v>
      </c>
      <c r="G56" s="22"/>
    </row>
    <row r="57" spans="1:7" ht="24" customHeight="1">
      <c r="A57" s="20">
        <v>54</v>
      </c>
      <c r="B57" s="21" t="s">
        <v>127</v>
      </c>
      <c r="C57" s="21" t="s">
        <v>198</v>
      </c>
      <c r="D57" s="20" t="s">
        <v>249</v>
      </c>
      <c r="E57" s="28" t="s">
        <v>928</v>
      </c>
      <c r="F57" s="23">
        <v>13</v>
      </c>
      <c r="G57" s="22"/>
    </row>
    <row r="58" spans="1:7" ht="24" customHeight="1">
      <c r="A58" s="20">
        <v>55</v>
      </c>
      <c r="B58" s="21" t="s">
        <v>127</v>
      </c>
      <c r="C58" s="21" t="s">
        <v>198</v>
      </c>
      <c r="D58" s="20" t="s">
        <v>249</v>
      </c>
      <c r="E58" s="28" t="s">
        <v>1040</v>
      </c>
      <c r="F58" s="23">
        <v>78</v>
      </c>
      <c r="G58" s="22"/>
    </row>
    <row r="59" spans="1:7" ht="24" customHeight="1">
      <c r="A59" s="20">
        <v>56</v>
      </c>
      <c r="B59" s="21" t="s">
        <v>127</v>
      </c>
      <c r="C59" s="21" t="s">
        <v>198</v>
      </c>
      <c r="D59" s="20" t="s">
        <v>249</v>
      </c>
      <c r="E59" s="28" t="s">
        <v>710</v>
      </c>
      <c r="F59" s="23">
        <v>15</v>
      </c>
      <c r="G59" s="22"/>
    </row>
    <row r="60" spans="1:7" ht="24" customHeight="1">
      <c r="A60" s="20">
        <v>57</v>
      </c>
      <c r="B60" s="21" t="s">
        <v>127</v>
      </c>
      <c r="C60" s="21" t="s">
        <v>198</v>
      </c>
      <c r="D60" s="17" t="s">
        <v>219</v>
      </c>
      <c r="E60" s="35" t="s">
        <v>255</v>
      </c>
      <c r="F60" s="37">
        <f>SUM(F55:F59)</f>
        <v>143.5</v>
      </c>
      <c r="G60" s="36"/>
    </row>
    <row r="61" spans="1:7" ht="24" customHeight="1">
      <c r="A61" s="20">
        <v>58</v>
      </c>
      <c r="B61" s="21" t="s">
        <v>127</v>
      </c>
      <c r="C61" s="21" t="s">
        <v>198</v>
      </c>
      <c r="D61" s="20" t="s">
        <v>989</v>
      </c>
      <c r="E61" s="22" t="s">
        <v>990</v>
      </c>
      <c r="F61" s="23">
        <v>30</v>
      </c>
      <c r="G61" s="22"/>
    </row>
    <row r="62" spans="1:7" ht="24" customHeight="1">
      <c r="A62" s="20">
        <v>59</v>
      </c>
      <c r="B62" s="21" t="s">
        <v>127</v>
      </c>
      <c r="C62" s="21" t="s">
        <v>198</v>
      </c>
      <c r="D62" s="20" t="s">
        <v>989</v>
      </c>
      <c r="E62" s="22" t="s">
        <v>991</v>
      </c>
      <c r="F62" s="42">
        <v>4</v>
      </c>
      <c r="G62" s="22"/>
    </row>
    <row r="63" spans="1:7" ht="24" customHeight="1">
      <c r="A63" s="20">
        <v>60</v>
      </c>
      <c r="B63" s="21" t="s">
        <v>127</v>
      </c>
      <c r="C63" s="21" t="s">
        <v>198</v>
      </c>
      <c r="D63" s="17" t="s">
        <v>219</v>
      </c>
      <c r="E63" s="35" t="s">
        <v>258</v>
      </c>
      <c r="F63" s="37">
        <f>SUM(F61:F62)</f>
        <v>34</v>
      </c>
      <c r="G63" s="36"/>
    </row>
    <row r="64" spans="1:7" ht="24" customHeight="1">
      <c r="A64" s="20">
        <v>61</v>
      </c>
      <c r="B64" s="21" t="s">
        <v>127</v>
      </c>
      <c r="C64" s="21" t="s">
        <v>198</v>
      </c>
      <c r="D64" s="20" t="s">
        <v>262</v>
      </c>
      <c r="E64" s="28" t="s">
        <v>425</v>
      </c>
      <c r="F64" s="23">
        <v>300</v>
      </c>
      <c r="G64" s="22"/>
    </row>
    <row r="65" spans="1:7" ht="24" customHeight="1">
      <c r="A65" s="20">
        <v>62</v>
      </c>
      <c r="B65" s="21" t="s">
        <v>127</v>
      </c>
      <c r="C65" s="21" t="s">
        <v>198</v>
      </c>
      <c r="D65" s="20" t="s">
        <v>262</v>
      </c>
      <c r="E65" s="28" t="s">
        <v>264</v>
      </c>
      <c r="F65" s="23">
        <v>60</v>
      </c>
      <c r="G65" s="22"/>
    </row>
    <row r="66" spans="1:7" ht="24" customHeight="1">
      <c r="A66" s="20">
        <v>63</v>
      </c>
      <c r="B66" s="21" t="s">
        <v>127</v>
      </c>
      <c r="C66" s="21" t="s">
        <v>198</v>
      </c>
      <c r="D66" s="20" t="s">
        <v>262</v>
      </c>
      <c r="E66" s="28" t="s">
        <v>265</v>
      </c>
      <c r="F66" s="23">
        <v>60</v>
      </c>
      <c r="G66" s="22"/>
    </row>
    <row r="67" spans="1:7" ht="24" customHeight="1">
      <c r="A67" s="20">
        <v>64</v>
      </c>
      <c r="B67" s="21" t="s">
        <v>127</v>
      </c>
      <c r="C67" s="21" t="s">
        <v>198</v>
      </c>
      <c r="D67" s="17" t="s">
        <v>219</v>
      </c>
      <c r="E67" s="35" t="s">
        <v>266</v>
      </c>
      <c r="F67" s="37">
        <f>SUM(F64:F66)</f>
        <v>420</v>
      </c>
      <c r="G67" s="36"/>
    </row>
    <row r="68" spans="1:7" ht="24" customHeight="1">
      <c r="A68" s="20">
        <v>65</v>
      </c>
      <c r="B68" s="21" t="s">
        <v>127</v>
      </c>
      <c r="C68" s="21" t="s">
        <v>198</v>
      </c>
      <c r="D68" s="17" t="s">
        <v>267</v>
      </c>
      <c r="E68" s="35" t="s">
        <v>1041</v>
      </c>
      <c r="F68" s="35">
        <v>3487.6</v>
      </c>
      <c r="G68" s="36"/>
    </row>
    <row r="69" spans="1:7" ht="24" customHeight="1">
      <c r="A69" s="231" t="s">
        <v>1042</v>
      </c>
      <c r="B69" s="232"/>
      <c r="C69" s="232"/>
      <c r="D69" s="232"/>
      <c r="E69" s="232"/>
      <c r="F69" s="232"/>
      <c r="G69" s="233"/>
    </row>
  </sheetData>
  <autoFilter ref="A3:G69" xr:uid="{00000000-0009-0000-0000-000047000000}"/>
  <mergeCells count="3">
    <mergeCell ref="A1:G1"/>
    <mergeCell ref="A2:G2"/>
    <mergeCell ref="A69:G69"/>
  </mergeCells>
  <phoneticPr fontId="23" type="noConversion"/>
  <pageMargins left="0.28999999999999998" right="0.17" top="0.28999999999999998" bottom="0.4" header="0.3" footer="0.2"/>
  <pageSetup paperSize="9" orientation="portrait" r:id="rId1"/>
  <headerFooter>
    <oddFooter>&amp;C&amp;8第 &amp;P 页，共 &amp;N 页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5" tint="-0.249977111117893"/>
  </sheetPr>
  <dimension ref="A1:G34"/>
  <sheetViews>
    <sheetView view="pageBreakPreview" zoomScale="70" zoomScaleNormal="130" zoomScaleSheetLayoutView="70" workbookViewId="0">
      <selection activeCell="A16" sqref="A16:XFD16"/>
    </sheetView>
  </sheetViews>
  <sheetFormatPr defaultColWidth="9" defaultRowHeight="15.75"/>
  <cols>
    <col min="1" max="1" width="5.6640625" style="13" bestFit="1" customWidth="1"/>
    <col min="2" max="2" width="7.59765625" style="14" bestFit="1" customWidth="1"/>
    <col min="3" max="3" width="10.73046875" style="13" bestFit="1" customWidth="1"/>
    <col min="4" max="4" width="18.73046875" style="13" bestFit="1" customWidth="1"/>
    <col min="5" max="5" width="39" style="13" bestFit="1" customWidth="1"/>
    <col min="6" max="6" width="5.6640625" style="15" bestFit="1" customWidth="1"/>
    <col min="7" max="7" width="10.73046875" style="13" bestFit="1" customWidth="1"/>
    <col min="8" max="16384" width="9" style="16"/>
  </cols>
  <sheetData>
    <row r="1" spans="1:7" ht="26.55" customHeight="1">
      <c r="A1" s="246" t="s">
        <v>1043</v>
      </c>
      <c r="B1" s="246"/>
      <c r="C1" s="246"/>
      <c r="D1" s="246"/>
      <c r="E1" s="246"/>
      <c r="F1" s="246"/>
      <c r="G1" s="246"/>
    </row>
    <row r="2" spans="1:7" ht="24" customHeight="1">
      <c r="A2" s="247" t="s">
        <v>200</v>
      </c>
      <c r="B2" s="247"/>
      <c r="C2" s="247"/>
      <c r="D2" s="247"/>
      <c r="E2" s="247"/>
      <c r="F2" s="247"/>
      <c r="G2" s="247"/>
    </row>
    <row r="3" spans="1:7" s="12" customFormat="1" ht="24" customHeight="1">
      <c r="A3" s="200" t="s">
        <v>203</v>
      </c>
      <c r="B3" s="201" t="s">
        <v>204</v>
      </c>
      <c r="C3" s="200" t="s">
        <v>205</v>
      </c>
      <c r="D3" s="200" t="s">
        <v>206</v>
      </c>
      <c r="E3" s="200" t="s">
        <v>1044</v>
      </c>
      <c r="F3" s="202" t="s">
        <v>208</v>
      </c>
      <c r="G3" s="202" t="s">
        <v>11</v>
      </c>
    </row>
    <row r="4" spans="1:7" ht="24" customHeight="1">
      <c r="A4" s="203">
        <v>1</v>
      </c>
      <c r="B4" s="204" t="s">
        <v>23</v>
      </c>
      <c r="C4" s="203" t="s">
        <v>159</v>
      </c>
      <c r="D4" s="203" t="s">
        <v>249</v>
      </c>
      <c r="E4" s="205" t="s">
        <v>944</v>
      </c>
      <c r="F4" s="206">
        <v>20</v>
      </c>
      <c r="G4" s="205"/>
    </row>
    <row r="5" spans="1:7" ht="24" customHeight="1">
      <c r="A5" s="203">
        <v>2</v>
      </c>
      <c r="B5" s="204" t="s">
        <v>23</v>
      </c>
      <c r="C5" s="203" t="s">
        <v>159</v>
      </c>
      <c r="D5" s="203" t="s">
        <v>843</v>
      </c>
      <c r="E5" s="205" t="s">
        <v>1045</v>
      </c>
      <c r="F5" s="206">
        <v>65</v>
      </c>
      <c r="G5" s="203" t="s">
        <v>950</v>
      </c>
    </row>
    <row r="6" spans="1:7" ht="24" customHeight="1">
      <c r="A6" s="203">
        <v>3</v>
      </c>
      <c r="B6" s="204" t="s">
        <v>23</v>
      </c>
      <c r="C6" s="203" t="s">
        <v>27</v>
      </c>
      <c r="D6" s="203" t="s">
        <v>249</v>
      </c>
      <c r="E6" s="205" t="s">
        <v>944</v>
      </c>
      <c r="F6" s="206">
        <v>20</v>
      </c>
      <c r="G6" s="205"/>
    </row>
    <row r="7" spans="1:7" ht="24" customHeight="1">
      <c r="A7" s="203">
        <v>4</v>
      </c>
      <c r="B7" s="204" t="s">
        <v>14</v>
      </c>
      <c r="C7" s="203" t="s">
        <v>1046</v>
      </c>
      <c r="D7" s="203" t="s">
        <v>243</v>
      </c>
      <c r="E7" s="205" t="s">
        <v>246</v>
      </c>
      <c r="F7" s="206">
        <v>13.2</v>
      </c>
      <c r="G7" s="205"/>
    </row>
    <row r="8" spans="1:7" ht="31.05" customHeight="1">
      <c r="A8" s="203">
        <v>5</v>
      </c>
      <c r="B8" s="207"/>
      <c r="C8" s="207"/>
      <c r="D8" s="208" t="s">
        <v>1089</v>
      </c>
      <c r="E8" s="209" t="s">
        <v>1047</v>
      </c>
      <c r="F8" s="210"/>
      <c r="G8" s="211">
        <v>45698</v>
      </c>
    </row>
    <row r="9" spans="1:7" ht="31.05" customHeight="1">
      <c r="A9" s="203"/>
      <c r="B9" s="207"/>
      <c r="C9" s="207"/>
      <c r="D9" s="208"/>
      <c r="E9" s="209"/>
      <c r="F9" s="210"/>
      <c r="G9" s="211"/>
    </row>
    <row r="10" spans="1:7" ht="24" customHeight="1">
      <c r="A10" s="203">
        <v>6</v>
      </c>
      <c r="B10" s="207"/>
      <c r="C10" s="212" t="s">
        <v>41</v>
      </c>
      <c r="D10" s="212" t="s">
        <v>1090</v>
      </c>
      <c r="E10" s="209" t="s">
        <v>1092</v>
      </c>
      <c r="F10" s="210">
        <v>15</v>
      </c>
      <c r="G10" s="211">
        <v>45698</v>
      </c>
    </row>
    <row r="11" spans="1:7" ht="24" customHeight="1">
      <c r="A11" s="203"/>
      <c r="B11" s="207"/>
      <c r="C11" s="212" t="s">
        <v>41</v>
      </c>
      <c r="D11" s="212" t="s">
        <v>1090</v>
      </c>
      <c r="E11" s="209" t="s">
        <v>1091</v>
      </c>
      <c r="F11" s="210">
        <v>20</v>
      </c>
      <c r="G11" s="211">
        <v>45698</v>
      </c>
    </row>
    <row r="12" spans="1:7" ht="33" customHeight="1">
      <c r="A12" s="203">
        <v>7</v>
      </c>
      <c r="B12" s="204" t="s">
        <v>862</v>
      </c>
      <c r="C12" s="203"/>
      <c r="D12" s="203" t="s">
        <v>1048</v>
      </c>
      <c r="E12" s="213" t="s">
        <v>1088</v>
      </c>
      <c r="F12" s="206">
        <v>2</v>
      </c>
      <c r="G12" s="214">
        <v>45811</v>
      </c>
    </row>
    <row r="13" spans="1:7" ht="24" customHeight="1">
      <c r="A13" s="203">
        <v>8</v>
      </c>
      <c r="B13" s="204" t="s">
        <v>862</v>
      </c>
      <c r="C13" s="38"/>
      <c r="D13" s="203" t="s">
        <v>1048</v>
      </c>
      <c r="E13" s="34" t="s">
        <v>1085</v>
      </c>
      <c r="F13" s="40">
        <v>2</v>
      </c>
      <c r="G13" s="34"/>
    </row>
    <row r="14" spans="1:7" ht="24" customHeight="1">
      <c r="A14" s="203">
        <v>9</v>
      </c>
      <c r="B14" s="204" t="s">
        <v>862</v>
      </c>
      <c r="C14" s="38"/>
      <c r="D14" s="203" t="s">
        <v>1048</v>
      </c>
      <c r="E14" s="34" t="s">
        <v>1086</v>
      </c>
      <c r="F14" s="40">
        <v>2</v>
      </c>
      <c r="G14" s="34"/>
    </row>
    <row r="15" spans="1:7" ht="24" customHeight="1">
      <c r="A15" s="203">
        <v>10</v>
      </c>
      <c r="B15" s="204" t="s">
        <v>862</v>
      </c>
      <c r="C15" s="38"/>
      <c r="D15" s="203" t="s">
        <v>1048</v>
      </c>
      <c r="E15" s="34" t="s">
        <v>1087</v>
      </c>
      <c r="F15" s="40">
        <v>3</v>
      </c>
      <c r="G15" s="34"/>
    </row>
    <row r="16" spans="1:7" ht="24" customHeight="1">
      <c r="A16" s="20"/>
      <c r="B16" s="21"/>
      <c r="C16" s="20"/>
      <c r="D16" s="20"/>
      <c r="E16" s="22"/>
      <c r="F16" s="23"/>
      <c r="G16" s="22"/>
    </row>
    <row r="17" spans="1:7" ht="24" customHeight="1">
      <c r="A17" s="20"/>
      <c r="B17" s="21"/>
      <c r="C17" s="20"/>
      <c r="D17" s="20"/>
      <c r="E17" s="22"/>
      <c r="F17" s="23"/>
      <c r="G17" s="22"/>
    </row>
    <row r="18" spans="1:7" ht="24" customHeight="1">
      <c r="A18" s="20"/>
      <c r="B18" s="21"/>
      <c r="C18" s="20"/>
      <c r="D18" s="20"/>
      <c r="E18" s="22"/>
      <c r="F18" s="23"/>
      <c r="G18" s="22"/>
    </row>
    <row r="19" spans="1:7" ht="24" customHeight="1">
      <c r="A19" s="20"/>
      <c r="B19" s="21"/>
      <c r="C19" s="20"/>
      <c r="D19" s="20"/>
      <c r="E19" s="22"/>
      <c r="F19" s="23"/>
      <c r="G19" s="22"/>
    </row>
    <row r="20" spans="1:7" ht="24" customHeight="1">
      <c r="A20" s="20"/>
      <c r="B20" s="21"/>
      <c r="C20" s="20"/>
      <c r="D20" s="20"/>
      <c r="E20" s="22"/>
      <c r="F20" s="23"/>
      <c r="G20" s="22"/>
    </row>
    <row r="21" spans="1:7" ht="24" customHeight="1">
      <c r="A21" s="20"/>
      <c r="B21" s="21"/>
      <c r="C21" s="20"/>
      <c r="D21" s="20"/>
      <c r="E21" s="22"/>
      <c r="F21" s="23"/>
      <c r="G21" s="22"/>
    </row>
    <row r="22" spans="1:7" ht="24" customHeight="1">
      <c r="A22" s="20"/>
      <c r="B22" s="21"/>
      <c r="C22" s="20"/>
      <c r="D22" s="20"/>
      <c r="E22" s="22"/>
      <c r="F22" s="27"/>
      <c r="G22" s="22"/>
    </row>
    <row r="23" spans="1:7" ht="24" customHeight="1">
      <c r="A23" s="20"/>
      <c r="B23" s="21"/>
      <c r="C23" s="20"/>
      <c r="D23" s="20"/>
      <c r="E23" s="22"/>
      <c r="F23" s="23"/>
      <c r="G23" s="22"/>
    </row>
    <row r="24" spans="1:7" ht="24" customHeight="1">
      <c r="A24" s="20"/>
      <c r="B24" s="21"/>
      <c r="C24" s="20"/>
      <c r="D24" s="20"/>
      <c r="E24" s="22"/>
      <c r="F24" s="23"/>
      <c r="G24" s="22"/>
    </row>
    <row r="25" spans="1:7" ht="24" customHeight="1">
      <c r="A25" s="20"/>
      <c r="B25" s="21"/>
      <c r="C25" s="20"/>
      <c r="D25" s="20"/>
      <c r="E25" s="22"/>
      <c r="F25" s="23"/>
      <c r="G25" s="22"/>
    </row>
    <row r="26" spans="1:7" ht="24" customHeight="1">
      <c r="A26" s="20"/>
      <c r="B26" s="21"/>
      <c r="C26" s="20"/>
      <c r="D26" s="20"/>
      <c r="E26" s="22"/>
      <c r="F26" s="23"/>
      <c r="G26" s="22"/>
    </row>
    <row r="27" spans="1:7" ht="24" customHeight="1">
      <c r="A27" s="20"/>
      <c r="B27" s="21"/>
      <c r="C27" s="20"/>
      <c r="D27" s="20"/>
      <c r="E27" s="22"/>
      <c r="F27" s="23"/>
      <c r="G27" s="22"/>
    </row>
    <row r="28" spans="1:7" ht="24" customHeight="1">
      <c r="A28" s="20"/>
      <c r="B28" s="21"/>
      <c r="C28" s="20"/>
      <c r="D28" s="20"/>
      <c r="E28" s="22"/>
      <c r="F28" s="23"/>
      <c r="G28" s="22"/>
    </row>
    <row r="29" spans="1:7" ht="24" customHeight="1">
      <c r="A29" s="20"/>
      <c r="B29" s="21"/>
      <c r="C29" s="20"/>
      <c r="D29" s="20"/>
      <c r="E29" s="22"/>
      <c r="F29" s="23"/>
      <c r="G29" s="22"/>
    </row>
    <row r="30" spans="1:7" ht="24" customHeight="1">
      <c r="A30" s="20"/>
      <c r="B30" s="21"/>
      <c r="C30" s="20"/>
      <c r="D30" s="20"/>
      <c r="E30" s="22"/>
      <c r="F30" s="27"/>
      <c r="G30" s="22"/>
    </row>
    <row r="31" spans="1:7" ht="24" customHeight="1">
      <c r="A31" s="20"/>
      <c r="B31" s="21"/>
      <c r="C31" s="20"/>
      <c r="D31" s="20"/>
      <c r="E31" s="22"/>
      <c r="F31" s="23"/>
      <c r="G31" s="22"/>
    </row>
    <row r="32" spans="1:7" ht="24" customHeight="1">
      <c r="A32" s="20"/>
      <c r="B32" s="21"/>
      <c r="C32" s="20"/>
      <c r="D32" s="20"/>
      <c r="E32" s="22"/>
      <c r="F32" s="27"/>
      <c r="G32" s="22"/>
    </row>
    <row r="33" spans="1:7" ht="24" customHeight="1">
      <c r="A33" s="20"/>
      <c r="B33" s="21"/>
      <c r="C33" s="20"/>
      <c r="D33" s="20"/>
      <c r="E33" s="28"/>
      <c r="F33" s="29"/>
      <c r="G33" s="22"/>
    </row>
    <row r="34" spans="1:7" ht="24" customHeight="1">
      <c r="A34" s="248" t="s">
        <v>1062</v>
      </c>
      <c r="B34" s="240"/>
      <c r="C34" s="240"/>
      <c r="D34" s="240"/>
      <c r="E34" s="240"/>
      <c r="F34" s="240"/>
      <c r="G34" s="240"/>
    </row>
  </sheetData>
  <mergeCells count="3">
    <mergeCell ref="A1:G1"/>
    <mergeCell ref="A2:G2"/>
    <mergeCell ref="A34:G34"/>
  </mergeCells>
  <phoneticPr fontId="23" type="noConversion"/>
  <pageMargins left="0.41" right="0.15748031496063" top="0.35433070866141703" bottom="0.43307086614173201" header="0.35433070866141703" footer="0.196850393700787"/>
  <pageSetup paperSize="9" orientation="portrait" r:id="rId1"/>
  <headerFooter>
    <oddFooter>&amp;C&amp;8第 &amp;P 页，共 &amp;N 页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00"/>
  </sheetPr>
  <dimension ref="A1:G61"/>
  <sheetViews>
    <sheetView view="pageBreakPreview" topLeftCell="A46" zoomScale="85" zoomScaleNormal="130" zoomScaleSheetLayoutView="85" workbookViewId="0">
      <selection activeCell="E7" sqref="E7"/>
    </sheetView>
  </sheetViews>
  <sheetFormatPr defaultColWidth="9" defaultRowHeight="15.75"/>
  <cols>
    <col min="1" max="1" width="4.06640625" style="1" customWidth="1"/>
    <col min="2" max="2" width="7.46484375" style="2" customWidth="1"/>
    <col min="3" max="3" width="12.796875" style="1" customWidth="1"/>
    <col min="4" max="4" width="12" style="1" customWidth="1"/>
    <col min="5" max="5" width="45.9296875" style="1" customWidth="1"/>
    <col min="6" max="6" width="9.19921875" style="1" customWidth="1"/>
    <col min="7" max="7" width="9.53125" style="1" customWidth="1"/>
  </cols>
  <sheetData>
    <row r="1" spans="1:7" ht="24" customHeight="1">
      <c r="A1" s="249" t="s">
        <v>1056</v>
      </c>
      <c r="B1" s="215"/>
      <c r="C1" s="215"/>
      <c r="D1" s="215"/>
      <c r="E1" s="215"/>
      <c r="F1" s="235"/>
      <c r="G1" s="235"/>
    </row>
    <row r="2" spans="1:7" ht="24" customHeight="1">
      <c r="A2" s="216" t="s">
        <v>1061</v>
      </c>
      <c r="B2" s="217"/>
      <c r="C2" s="217"/>
      <c r="D2" s="217"/>
      <c r="E2" s="217"/>
      <c r="F2" s="217"/>
      <c r="G2" s="217"/>
    </row>
    <row r="3" spans="1:7" ht="24" customHeight="1">
      <c r="A3" s="3" t="s">
        <v>203</v>
      </c>
      <c r="B3" s="4" t="s">
        <v>204</v>
      </c>
      <c r="C3" s="3" t="s">
        <v>205</v>
      </c>
      <c r="D3" s="3" t="s">
        <v>206</v>
      </c>
      <c r="E3" s="3" t="s">
        <v>207</v>
      </c>
      <c r="F3" s="5" t="s">
        <v>208</v>
      </c>
      <c r="G3" s="5" t="s">
        <v>11</v>
      </c>
    </row>
    <row r="4" spans="1:7" ht="24" customHeight="1">
      <c r="A4" s="6">
        <v>1</v>
      </c>
      <c r="B4" s="7" t="s">
        <v>23</v>
      </c>
      <c r="C4" s="6" t="s">
        <v>1049</v>
      </c>
      <c r="D4" s="6" t="s">
        <v>209</v>
      </c>
      <c r="E4" s="8" t="s">
        <v>210</v>
      </c>
      <c r="F4" s="8">
        <v>19</v>
      </c>
      <c r="G4" s="8"/>
    </row>
    <row r="5" spans="1:7" ht="24" customHeight="1">
      <c r="A5" s="6">
        <v>2</v>
      </c>
      <c r="B5" s="7" t="s">
        <v>23</v>
      </c>
      <c r="C5" s="6" t="s">
        <v>1049</v>
      </c>
      <c r="D5" s="6" t="s">
        <v>209</v>
      </c>
      <c r="E5" s="8" t="s">
        <v>211</v>
      </c>
      <c r="F5" s="8">
        <v>15</v>
      </c>
      <c r="G5" s="8"/>
    </row>
    <row r="6" spans="1:7" ht="24" customHeight="1">
      <c r="A6" s="6">
        <v>3</v>
      </c>
      <c r="B6" s="7" t="s">
        <v>23</v>
      </c>
      <c r="C6" s="6" t="s">
        <v>1049</v>
      </c>
      <c r="D6" s="6" t="s">
        <v>209</v>
      </c>
      <c r="E6" s="8" t="s">
        <v>212</v>
      </c>
      <c r="F6" s="8">
        <v>34</v>
      </c>
      <c r="G6" s="8"/>
    </row>
    <row r="7" spans="1:7" ht="24" customHeight="1">
      <c r="A7" s="6">
        <v>4</v>
      </c>
      <c r="B7" s="7" t="s">
        <v>23</v>
      </c>
      <c r="C7" s="6" t="s">
        <v>1049</v>
      </c>
      <c r="D7" s="6" t="s">
        <v>209</v>
      </c>
      <c r="E7" s="8" t="s">
        <v>272</v>
      </c>
      <c r="F7" s="8">
        <v>34</v>
      </c>
      <c r="G7" s="8"/>
    </row>
    <row r="8" spans="1:7" ht="24" customHeight="1">
      <c r="A8" s="6">
        <v>5</v>
      </c>
      <c r="B8" s="7" t="s">
        <v>23</v>
      </c>
      <c r="C8" s="6" t="s">
        <v>1049</v>
      </c>
      <c r="D8" s="6" t="s">
        <v>209</v>
      </c>
      <c r="E8" s="8" t="s">
        <v>214</v>
      </c>
      <c r="F8" s="8">
        <v>26</v>
      </c>
      <c r="G8" s="8"/>
    </row>
    <row r="9" spans="1:7" ht="24" customHeight="1">
      <c r="A9" s="6">
        <v>6</v>
      </c>
      <c r="B9" s="7" t="s">
        <v>23</v>
      </c>
      <c r="C9" s="6" t="s">
        <v>1049</v>
      </c>
      <c r="D9" s="6" t="s">
        <v>209</v>
      </c>
      <c r="E9" s="8" t="s">
        <v>980</v>
      </c>
      <c r="F9" s="8">
        <v>20</v>
      </c>
      <c r="G9" s="8"/>
    </row>
    <row r="10" spans="1:7" ht="24" customHeight="1">
      <c r="A10" s="6">
        <v>7</v>
      </c>
      <c r="B10" s="7" t="s">
        <v>23</v>
      </c>
      <c r="C10" s="6" t="s">
        <v>1049</v>
      </c>
      <c r="D10" s="6" t="s">
        <v>209</v>
      </c>
      <c r="E10" s="8" t="s">
        <v>216</v>
      </c>
      <c r="F10" s="8">
        <v>40</v>
      </c>
      <c r="G10" s="8"/>
    </row>
    <row r="11" spans="1:7" ht="24" customHeight="1">
      <c r="A11" s="6">
        <v>8</v>
      </c>
      <c r="B11" s="7" t="s">
        <v>23</v>
      </c>
      <c r="C11" s="6" t="s">
        <v>1049</v>
      </c>
      <c r="D11" s="6" t="s">
        <v>209</v>
      </c>
      <c r="E11" s="8" t="s">
        <v>292</v>
      </c>
      <c r="F11" s="8">
        <v>18</v>
      </c>
      <c r="G11" s="8"/>
    </row>
    <row r="12" spans="1:7" ht="24" customHeight="1">
      <c r="A12" s="6">
        <v>9</v>
      </c>
      <c r="B12" s="7" t="s">
        <v>23</v>
      </c>
      <c r="C12" s="6" t="s">
        <v>1049</v>
      </c>
      <c r="D12" s="6" t="s">
        <v>209</v>
      </c>
      <c r="E12" s="8" t="s">
        <v>217</v>
      </c>
      <c r="F12" s="8">
        <v>65</v>
      </c>
      <c r="G12" s="8"/>
    </row>
    <row r="13" spans="1:7" ht="24" customHeight="1">
      <c r="A13" s="6">
        <v>10</v>
      </c>
      <c r="B13" s="7" t="s">
        <v>23</v>
      </c>
      <c r="C13" s="6" t="s">
        <v>1049</v>
      </c>
      <c r="D13" s="6" t="s">
        <v>209</v>
      </c>
      <c r="E13" s="8" t="s">
        <v>400</v>
      </c>
      <c r="F13" s="8">
        <v>10</v>
      </c>
      <c r="G13" s="8"/>
    </row>
    <row r="14" spans="1:7" ht="24" customHeight="1">
      <c r="A14" s="6">
        <v>11</v>
      </c>
      <c r="B14" s="7" t="s">
        <v>23</v>
      </c>
      <c r="C14" s="6" t="s">
        <v>1049</v>
      </c>
      <c r="D14" s="3" t="s">
        <v>219</v>
      </c>
      <c r="E14" s="9" t="s">
        <v>220</v>
      </c>
      <c r="F14" s="9">
        <f>SUM(F4:F13)</f>
        <v>281</v>
      </c>
      <c r="G14" s="9"/>
    </row>
    <row r="15" spans="1:7" ht="24" customHeight="1">
      <c r="A15" s="6">
        <v>12</v>
      </c>
      <c r="B15" s="7" t="s">
        <v>23</v>
      </c>
      <c r="C15" s="6" t="s">
        <v>1049</v>
      </c>
      <c r="D15" s="6" t="s">
        <v>401</v>
      </c>
      <c r="E15" s="8" t="s">
        <v>402</v>
      </c>
      <c r="F15" s="8">
        <v>34</v>
      </c>
      <c r="G15" s="8"/>
    </row>
    <row r="16" spans="1:7" ht="24" customHeight="1">
      <c r="A16" s="6">
        <v>13</v>
      </c>
      <c r="B16" s="7" t="s">
        <v>23</v>
      </c>
      <c r="C16" s="6" t="s">
        <v>1049</v>
      </c>
      <c r="D16" s="6" t="s">
        <v>401</v>
      </c>
      <c r="E16" s="8" t="s">
        <v>403</v>
      </c>
      <c r="F16" s="8">
        <v>34</v>
      </c>
      <c r="G16" s="8"/>
    </row>
    <row r="17" spans="1:7" ht="24" customHeight="1">
      <c r="A17" s="6">
        <v>14</v>
      </c>
      <c r="B17" s="7" t="s">
        <v>23</v>
      </c>
      <c r="C17" s="6" t="s">
        <v>1049</v>
      </c>
      <c r="D17" s="6" t="s">
        <v>401</v>
      </c>
      <c r="E17" s="8" t="s">
        <v>404</v>
      </c>
      <c r="F17" s="8">
        <v>140</v>
      </c>
      <c r="G17" s="8"/>
    </row>
    <row r="18" spans="1:7" ht="24" customHeight="1">
      <c r="A18" s="6">
        <v>15</v>
      </c>
      <c r="B18" s="7" t="s">
        <v>23</v>
      </c>
      <c r="C18" s="6" t="s">
        <v>1049</v>
      </c>
      <c r="D18" s="6" t="s">
        <v>401</v>
      </c>
      <c r="E18" s="8" t="s">
        <v>405</v>
      </c>
      <c r="F18" s="8">
        <v>60</v>
      </c>
      <c r="G18" s="8"/>
    </row>
    <row r="19" spans="1:7" ht="24" customHeight="1">
      <c r="A19" s="6">
        <v>16</v>
      </c>
      <c r="B19" s="7" t="s">
        <v>23</v>
      </c>
      <c r="C19" s="6" t="s">
        <v>1049</v>
      </c>
      <c r="D19" s="6" t="s">
        <v>401</v>
      </c>
      <c r="E19" s="8" t="s">
        <v>406</v>
      </c>
      <c r="F19" s="8">
        <v>20</v>
      </c>
      <c r="G19" s="8"/>
    </row>
    <row r="20" spans="1:7" ht="24" customHeight="1">
      <c r="A20" s="6">
        <v>17</v>
      </c>
      <c r="B20" s="7" t="s">
        <v>23</v>
      </c>
      <c r="C20" s="6" t="s">
        <v>1049</v>
      </c>
      <c r="D20" s="6" t="s">
        <v>401</v>
      </c>
      <c r="E20" s="8" t="s">
        <v>407</v>
      </c>
      <c r="F20" s="8">
        <v>200</v>
      </c>
      <c r="G20" s="8"/>
    </row>
    <row r="21" spans="1:7" ht="24" customHeight="1">
      <c r="A21" s="6">
        <v>18</v>
      </c>
      <c r="B21" s="7" t="s">
        <v>23</v>
      </c>
      <c r="C21" s="6" t="s">
        <v>1049</v>
      </c>
      <c r="D21" s="6" t="s">
        <v>401</v>
      </c>
      <c r="E21" s="8" t="s">
        <v>408</v>
      </c>
      <c r="F21" s="8">
        <v>16</v>
      </c>
      <c r="G21" s="8"/>
    </row>
    <row r="22" spans="1:7" ht="24" customHeight="1">
      <c r="A22" s="6">
        <v>19</v>
      </c>
      <c r="B22" s="7" t="s">
        <v>23</v>
      </c>
      <c r="C22" s="6" t="s">
        <v>1049</v>
      </c>
      <c r="D22" s="3" t="s">
        <v>219</v>
      </c>
      <c r="E22" s="9" t="s">
        <v>409</v>
      </c>
      <c r="F22" s="9">
        <f>SUM(F15:F21)</f>
        <v>504</v>
      </c>
      <c r="G22" s="9"/>
    </row>
    <row r="23" spans="1:7" ht="24" customHeight="1">
      <c r="A23" s="6">
        <v>20</v>
      </c>
      <c r="B23" s="7" t="s">
        <v>23</v>
      </c>
      <c r="C23" s="6" t="s">
        <v>1049</v>
      </c>
      <c r="D23" s="6" t="s">
        <v>221</v>
      </c>
      <c r="E23" s="8" t="s">
        <v>222</v>
      </c>
      <c r="F23" s="8">
        <v>14</v>
      </c>
      <c r="G23" s="8"/>
    </row>
    <row r="24" spans="1:7" ht="24" customHeight="1">
      <c r="A24" s="6">
        <v>21</v>
      </c>
      <c r="B24" s="7" t="s">
        <v>23</v>
      </c>
      <c r="C24" s="6" t="s">
        <v>1049</v>
      </c>
      <c r="D24" s="6" t="s">
        <v>221</v>
      </c>
      <c r="E24" s="8" t="s">
        <v>223</v>
      </c>
      <c r="F24" s="8">
        <v>22</v>
      </c>
      <c r="G24" s="8"/>
    </row>
    <row r="25" spans="1:7" ht="24" customHeight="1">
      <c r="A25" s="6">
        <v>22</v>
      </c>
      <c r="B25" s="7" t="s">
        <v>23</v>
      </c>
      <c r="C25" s="6" t="s">
        <v>1049</v>
      </c>
      <c r="D25" s="6" t="s">
        <v>221</v>
      </c>
      <c r="E25" s="8" t="s">
        <v>224</v>
      </c>
      <c r="F25" s="8">
        <v>9</v>
      </c>
      <c r="G25" s="8"/>
    </row>
    <row r="26" spans="1:7" ht="24" customHeight="1">
      <c r="A26" s="6">
        <v>23</v>
      </c>
      <c r="B26" s="7" t="s">
        <v>23</v>
      </c>
      <c r="C26" s="6" t="s">
        <v>1049</v>
      </c>
      <c r="D26" s="6" t="s">
        <v>221</v>
      </c>
      <c r="E26" s="8" t="s">
        <v>225</v>
      </c>
      <c r="F26" s="8">
        <v>20</v>
      </c>
      <c r="G26" s="8"/>
    </row>
    <row r="27" spans="1:7" ht="24" customHeight="1">
      <c r="A27" s="6">
        <v>24</v>
      </c>
      <c r="B27" s="7" t="s">
        <v>23</v>
      </c>
      <c r="C27" s="6" t="s">
        <v>1049</v>
      </c>
      <c r="D27" s="6" t="s">
        <v>221</v>
      </c>
      <c r="E27" s="8" t="s">
        <v>226</v>
      </c>
      <c r="F27" s="8">
        <v>22</v>
      </c>
      <c r="G27" s="8"/>
    </row>
    <row r="28" spans="1:7" ht="24" customHeight="1">
      <c r="A28" s="6">
        <v>25</v>
      </c>
      <c r="B28" s="7" t="s">
        <v>23</v>
      </c>
      <c r="C28" s="6" t="s">
        <v>1049</v>
      </c>
      <c r="D28" s="6" t="s">
        <v>221</v>
      </c>
      <c r="E28" s="8" t="s">
        <v>391</v>
      </c>
      <c r="F28" s="8">
        <v>20</v>
      </c>
      <c r="G28" s="8"/>
    </row>
    <row r="29" spans="1:7" ht="24" customHeight="1">
      <c r="A29" s="6">
        <v>26</v>
      </c>
      <c r="B29" s="7" t="s">
        <v>23</v>
      </c>
      <c r="C29" s="6" t="s">
        <v>1049</v>
      </c>
      <c r="D29" s="3" t="s">
        <v>219</v>
      </c>
      <c r="E29" s="9" t="s">
        <v>228</v>
      </c>
      <c r="F29" s="10">
        <f>SUM(F23:F28)</f>
        <v>107</v>
      </c>
      <c r="G29" s="9"/>
    </row>
    <row r="30" spans="1:7" ht="24" customHeight="1">
      <c r="A30" s="6">
        <v>27</v>
      </c>
      <c r="B30" s="7" t="s">
        <v>23</v>
      </c>
      <c r="C30" s="6" t="s">
        <v>1049</v>
      </c>
      <c r="D30" s="6" t="s">
        <v>229</v>
      </c>
      <c r="E30" s="8" t="s">
        <v>230</v>
      </c>
      <c r="F30" s="8">
        <v>14</v>
      </c>
      <c r="G30" s="8"/>
    </row>
    <row r="31" spans="1:7" ht="24" customHeight="1">
      <c r="A31" s="6">
        <v>28</v>
      </c>
      <c r="B31" s="7" t="s">
        <v>23</v>
      </c>
      <c r="C31" s="6" t="s">
        <v>1049</v>
      </c>
      <c r="D31" s="6" t="s">
        <v>229</v>
      </c>
      <c r="E31" s="8" t="s">
        <v>231</v>
      </c>
      <c r="F31" s="8">
        <v>45</v>
      </c>
      <c r="G31" s="8"/>
    </row>
    <row r="32" spans="1:7" ht="24" customHeight="1">
      <c r="A32" s="6">
        <v>29</v>
      </c>
      <c r="B32" s="7" t="s">
        <v>23</v>
      </c>
      <c r="C32" s="6" t="s">
        <v>1049</v>
      </c>
      <c r="D32" s="6" t="s">
        <v>229</v>
      </c>
      <c r="E32" s="8" t="s">
        <v>412</v>
      </c>
      <c r="F32" s="8">
        <v>40</v>
      </c>
      <c r="G32" s="8"/>
    </row>
    <row r="33" spans="1:7" ht="24" customHeight="1">
      <c r="A33" s="6">
        <v>30</v>
      </c>
      <c r="B33" s="7" t="s">
        <v>23</v>
      </c>
      <c r="C33" s="6" t="s">
        <v>1049</v>
      </c>
      <c r="D33" s="6" t="s">
        <v>229</v>
      </c>
      <c r="E33" s="8" t="s">
        <v>413</v>
      </c>
      <c r="F33" s="8">
        <v>25</v>
      </c>
      <c r="G33" s="8"/>
    </row>
    <row r="34" spans="1:7" ht="24" customHeight="1">
      <c r="A34" s="6">
        <v>31</v>
      </c>
      <c r="B34" s="7" t="s">
        <v>23</v>
      </c>
      <c r="C34" s="6" t="s">
        <v>1049</v>
      </c>
      <c r="D34" s="6" t="s">
        <v>229</v>
      </c>
      <c r="E34" s="8" t="s">
        <v>414</v>
      </c>
      <c r="F34" s="8">
        <v>30</v>
      </c>
      <c r="G34" s="8"/>
    </row>
    <row r="35" spans="1:7" ht="24" customHeight="1">
      <c r="A35" s="6">
        <v>32</v>
      </c>
      <c r="B35" s="7" t="s">
        <v>23</v>
      </c>
      <c r="C35" s="6" t="s">
        <v>1049</v>
      </c>
      <c r="D35" s="6" t="s">
        <v>229</v>
      </c>
      <c r="E35" s="8" t="s">
        <v>415</v>
      </c>
      <c r="F35" s="8">
        <v>120</v>
      </c>
      <c r="G35" s="8"/>
    </row>
    <row r="36" spans="1:7" ht="24" customHeight="1">
      <c r="A36" s="6">
        <v>33</v>
      </c>
      <c r="B36" s="7" t="s">
        <v>23</v>
      </c>
      <c r="C36" s="6" t="s">
        <v>1049</v>
      </c>
      <c r="D36" s="6" t="s">
        <v>229</v>
      </c>
      <c r="E36" s="8" t="s">
        <v>416</v>
      </c>
      <c r="F36" s="8">
        <v>8</v>
      </c>
      <c r="G36" s="8"/>
    </row>
    <row r="37" spans="1:7" ht="24" customHeight="1">
      <c r="A37" s="6">
        <v>34</v>
      </c>
      <c r="B37" s="7" t="s">
        <v>23</v>
      </c>
      <c r="C37" s="6" t="s">
        <v>1049</v>
      </c>
      <c r="D37" s="6" t="s">
        <v>229</v>
      </c>
      <c r="E37" s="8" t="s">
        <v>430</v>
      </c>
      <c r="F37" s="8">
        <v>10</v>
      </c>
      <c r="G37" s="8"/>
    </row>
    <row r="38" spans="1:7" ht="24" customHeight="1">
      <c r="A38" s="6">
        <v>35</v>
      </c>
      <c r="B38" s="7" t="s">
        <v>23</v>
      </c>
      <c r="C38" s="6" t="s">
        <v>1049</v>
      </c>
      <c r="D38" s="6" t="s">
        <v>229</v>
      </c>
      <c r="E38" s="8" t="s">
        <v>431</v>
      </c>
      <c r="F38" s="8">
        <v>12</v>
      </c>
      <c r="G38" s="8"/>
    </row>
    <row r="39" spans="1:7" ht="24" customHeight="1">
      <c r="A39" s="6">
        <v>36</v>
      </c>
      <c r="B39" s="7" t="s">
        <v>23</v>
      </c>
      <c r="C39" s="6" t="s">
        <v>1049</v>
      </c>
      <c r="D39" s="3" t="s">
        <v>219</v>
      </c>
      <c r="E39" s="9" t="s">
        <v>238</v>
      </c>
      <c r="F39" s="10">
        <f>SUM(F30:F38)</f>
        <v>304</v>
      </c>
      <c r="G39" s="9"/>
    </row>
    <row r="40" spans="1:7" ht="24" customHeight="1">
      <c r="A40" s="6">
        <v>37</v>
      </c>
      <c r="B40" s="7" t="s">
        <v>23</v>
      </c>
      <c r="C40" s="6" t="s">
        <v>1049</v>
      </c>
      <c r="D40" s="6" t="s">
        <v>239</v>
      </c>
      <c r="E40" s="8" t="s">
        <v>240</v>
      </c>
      <c r="F40" s="8">
        <v>80</v>
      </c>
      <c r="G40" s="8"/>
    </row>
    <row r="41" spans="1:7" ht="24" customHeight="1">
      <c r="A41" s="6">
        <v>38</v>
      </c>
      <c r="B41" s="7" t="s">
        <v>23</v>
      </c>
      <c r="C41" s="6" t="s">
        <v>1049</v>
      </c>
      <c r="D41" s="6" t="s">
        <v>239</v>
      </c>
      <c r="E41" s="8" t="s">
        <v>241</v>
      </c>
      <c r="F41" s="8">
        <v>60</v>
      </c>
      <c r="G41" s="8"/>
    </row>
    <row r="42" spans="1:7" ht="24" customHeight="1">
      <c r="A42" s="6">
        <v>39</v>
      </c>
      <c r="B42" s="7" t="s">
        <v>23</v>
      </c>
      <c r="C42" s="6" t="s">
        <v>1049</v>
      </c>
      <c r="D42" s="3" t="s">
        <v>219</v>
      </c>
      <c r="E42" s="9" t="s">
        <v>242</v>
      </c>
      <c r="F42" s="9">
        <f>SUM(F40:F41)</f>
        <v>140</v>
      </c>
      <c r="G42" s="9"/>
    </row>
    <row r="43" spans="1:7" ht="24" customHeight="1">
      <c r="A43" s="6">
        <v>40</v>
      </c>
      <c r="B43" s="7" t="s">
        <v>23</v>
      </c>
      <c r="C43" s="6" t="s">
        <v>1049</v>
      </c>
      <c r="D43" s="6" t="s">
        <v>259</v>
      </c>
      <c r="E43" s="11" t="s">
        <v>432</v>
      </c>
      <c r="F43" s="8">
        <v>45</v>
      </c>
      <c r="G43" s="8"/>
    </row>
    <row r="44" spans="1:7" ht="24" customHeight="1">
      <c r="A44" s="6">
        <v>41</v>
      </c>
      <c r="B44" s="7" t="s">
        <v>23</v>
      </c>
      <c r="C44" s="6" t="s">
        <v>1049</v>
      </c>
      <c r="D44" s="3" t="s">
        <v>219</v>
      </c>
      <c r="E44" s="9" t="s">
        <v>261</v>
      </c>
      <c r="F44" s="9">
        <f>SUM(F43:F43)</f>
        <v>45</v>
      </c>
      <c r="G44" s="9"/>
    </row>
    <row r="45" spans="1:7" ht="24" customHeight="1">
      <c r="A45" s="6">
        <v>42</v>
      </c>
      <c r="B45" s="7" t="s">
        <v>23</v>
      </c>
      <c r="C45" s="6" t="s">
        <v>1049</v>
      </c>
      <c r="D45" s="6" t="s">
        <v>243</v>
      </c>
      <c r="E45" s="8" t="s">
        <v>433</v>
      </c>
      <c r="F45" s="8">
        <v>7.8</v>
      </c>
      <c r="G45" s="8"/>
    </row>
    <row r="46" spans="1:7" ht="24" customHeight="1">
      <c r="A46" s="6">
        <v>43</v>
      </c>
      <c r="B46" s="7" t="s">
        <v>23</v>
      </c>
      <c r="C46" s="6" t="s">
        <v>1049</v>
      </c>
      <c r="D46" s="6" t="s">
        <v>243</v>
      </c>
      <c r="E46" s="8" t="s">
        <v>434</v>
      </c>
      <c r="F46" s="8">
        <v>7.8</v>
      </c>
      <c r="G46" s="8"/>
    </row>
    <row r="47" spans="1:7" ht="24" customHeight="1">
      <c r="A47" s="6">
        <v>44</v>
      </c>
      <c r="B47" s="7" t="s">
        <v>23</v>
      </c>
      <c r="C47" s="6" t="s">
        <v>1049</v>
      </c>
      <c r="D47" s="6" t="s">
        <v>243</v>
      </c>
      <c r="E47" s="8" t="s">
        <v>435</v>
      </c>
      <c r="F47" s="8">
        <v>14.5</v>
      </c>
      <c r="G47" s="8"/>
    </row>
    <row r="48" spans="1:7" ht="24" customHeight="1">
      <c r="A48" s="6">
        <v>45</v>
      </c>
      <c r="B48" s="7" t="s">
        <v>23</v>
      </c>
      <c r="C48" s="6" t="s">
        <v>1049</v>
      </c>
      <c r="D48" s="6" t="s">
        <v>243</v>
      </c>
      <c r="E48" s="8" t="s">
        <v>423</v>
      </c>
      <c r="F48" s="8">
        <v>2</v>
      </c>
      <c r="G48" s="8"/>
    </row>
    <row r="49" spans="1:7" ht="24" customHeight="1">
      <c r="A49" s="6">
        <v>46</v>
      </c>
      <c r="B49" s="7" t="s">
        <v>23</v>
      </c>
      <c r="C49" s="6" t="s">
        <v>1049</v>
      </c>
      <c r="D49" s="3" t="s">
        <v>219</v>
      </c>
      <c r="E49" s="9" t="s">
        <v>248</v>
      </c>
      <c r="F49" s="9">
        <f>SUM(F45:F48)</f>
        <v>32.1</v>
      </c>
      <c r="G49" s="9"/>
    </row>
    <row r="50" spans="1:7" ht="24" customHeight="1">
      <c r="A50" s="6">
        <v>47</v>
      </c>
      <c r="B50" s="7" t="s">
        <v>23</v>
      </c>
      <c r="C50" s="6" t="s">
        <v>1049</v>
      </c>
      <c r="D50" s="6" t="s">
        <v>249</v>
      </c>
      <c r="E50" s="8" t="s">
        <v>304</v>
      </c>
      <c r="F50" s="8">
        <v>7</v>
      </c>
      <c r="G50" s="8"/>
    </row>
    <row r="51" spans="1:7" ht="24" customHeight="1">
      <c r="A51" s="6">
        <v>48</v>
      </c>
      <c r="B51" s="7" t="s">
        <v>23</v>
      </c>
      <c r="C51" s="6" t="s">
        <v>1049</v>
      </c>
      <c r="D51" s="6" t="s">
        <v>249</v>
      </c>
      <c r="E51" s="8" t="s">
        <v>251</v>
      </c>
      <c r="F51" s="8">
        <v>7</v>
      </c>
      <c r="G51" s="8"/>
    </row>
    <row r="52" spans="1:7" ht="24" customHeight="1">
      <c r="A52" s="6">
        <v>49</v>
      </c>
      <c r="B52" s="7" t="s">
        <v>23</v>
      </c>
      <c r="C52" s="6" t="s">
        <v>1049</v>
      </c>
      <c r="D52" s="6" t="s">
        <v>249</v>
      </c>
      <c r="E52" s="8" t="s">
        <v>1050</v>
      </c>
      <c r="F52" s="8">
        <v>10.5</v>
      </c>
      <c r="G52" s="8"/>
    </row>
    <row r="53" spans="1:7" ht="24" customHeight="1">
      <c r="A53" s="6">
        <v>50</v>
      </c>
      <c r="B53" s="7" t="s">
        <v>23</v>
      </c>
      <c r="C53" s="6" t="s">
        <v>1049</v>
      </c>
      <c r="D53" s="6" t="s">
        <v>249</v>
      </c>
      <c r="E53" s="8" t="s">
        <v>424</v>
      </c>
      <c r="F53" s="8">
        <v>31.5</v>
      </c>
      <c r="G53" s="8"/>
    </row>
    <row r="54" spans="1:7" ht="24" customHeight="1">
      <c r="A54" s="6">
        <v>51</v>
      </c>
      <c r="B54" s="7" t="s">
        <v>23</v>
      </c>
      <c r="C54" s="6" t="s">
        <v>1049</v>
      </c>
      <c r="D54" s="6" t="s">
        <v>249</v>
      </c>
      <c r="E54" s="8" t="s">
        <v>253</v>
      </c>
      <c r="F54" s="8">
        <v>7</v>
      </c>
      <c r="G54" s="8"/>
    </row>
    <row r="55" spans="1:7" ht="24" customHeight="1">
      <c r="A55" s="6">
        <v>52</v>
      </c>
      <c r="B55" s="7" t="s">
        <v>23</v>
      </c>
      <c r="C55" s="6" t="s">
        <v>1049</v>
      </c>
      <c r="D55" s="3" t="s">
        <v>219</v>
      </c>
      <c r="E55" s="9" t="s">
        <v>255</v>
      </c>
      <c r="F55" s="9">
        <f>SUM(F50:F54)</f>
        <v>63</v>
      </c>
      <c r="G55" s="9"/>
    </row>
    <row r="56" spans="1:7" ht="24" customHeight="1">
      <c r="A56" s="6">
        <v>53</v>
      </c>
      <c r="B56" s="7" t="s">
        <v>23</v>
      </c>
      <c r="C56" s="6" t="s">
        <v>1049</v>
      </c>
      <c r="D56" s="6" t="s">
        <v>262</v>
      </c>
      <c r="E56" s="8" t="s">
        <v>425</v>
      </c>
      <c r="F56" s="8">
        <v>255</v>
      </c>
      <c r="G56" s="8"/>
    </row>
    <row r="57" spans="1:7" ht="24" customHeight="1">
      <c r="A57" s="6">
        <v>54</v>
      </c>
      <c r="B57" s="7" t="s">
        <v>23</v>
      </c>
      <c r="C57" s="6" t="s">
        <v>1049</v>
      </c>
      <c r="D57" s="6" t="s">
        <v>262</v>
      </c>
      <c r="E57" s="8" t="s">
        <v>264</v>
      </c>
      <c r="F57" s="8">
        <v>40</v>
      </c>
      <c r="G57" s="8"/>
    </row>
    <row r="58" spans="1:7" ht="24" customHeight="1">
      <c r="A58" s="6">
        <v>55</v>
      </c>
      <c r="B58" s="7" t="s">
        <v>23</v>
      </c>
      <c r="C58" s="6" t="s">
        <v>1049</v>
      </c>
      <c r="D58" s="6" t="s">
        <v>262</v>
      </c>
      <c r="E58" s="8" t="s">
        <v>265</v>
      </c>
      <c r="F58" s="8">
        <v>40</v>
      </c>
      <c r="G58" s="8"/>
    </row>
    <row r="59" spans="1:7" ht="24" customHeight="1">
      <c r="A59" s="6">
        <v>56</v>
      </c>
      <c r="B59" s="7" t="s">
        <v>23</v>
      </c>
      <c r="C59" s="6" t="s">
        <v>1049</v>
      </c>
      <c r="D59" s="3" t="s">
        <v>219</v>
      </c>
      <c r="E59" s="9" t="s">
        <v>266</v>
      </c>
      <c r="F59" s="9">
        <f>SUM(F56:F58)</f>
        <v>335</v>
      </c>
      <c r="G59" s="9"/>
    </row>
    <row r="60" spans="1:7" ht="24" customHeight="1">
      <c r="A60" s="6">
        <v>57</v>
      </c>
      <c r="B60" s="7" t="s">
        <v>23</v>
      </c>
      <c r="C60" s="6" t="s">
        <v>1049</v>
      </c>
      <c r="D60" s="3" t="s">
        <v>267</v>
      </c>
      <c r="E60" s="10" t="s">
        <v>1051</v>
      </c>
      <c r="F60" s="187">
        <f>F14+F22+F29+F39+F42+F44+F49+F55+F59</f>
        <v>1811.1</v>
      </c>
      <c r="G60" s="9"/>
    </row>
    <row r="61" spans="1:7" ht="24" customHeight="1">
      <c r="A61" s="250" t="s">
        <v>1057</v>
      </c>
      <c r="B61" s="221"/>
      <c r="C61" s="221"/>
      <c r="D61" s="221"/>
      <c r="E61" s="221"/>
      <c r="F61" s="221"/>
      <c r="G61" s="222"/>
    </row>
  </sheetData>
  <autoFilter ref="A3:G61" xr:uid="{00000000-0009-0000-0000-000049000000}"/>
  <mergeCells count="3">
    <mergeCell ref="A1:G1"/>
    <mergeCell ref="A2:G2"/>
    <mergeCell ref="A61:G61"/>
  </mergeCells>
  <phoneticPr fontId="23" type="noConversion"/>
  <pageMargins left="0.28000000000000003" right="0.15" top="0.27559055118110237" bottom="0.35433070866141736" header="0.27559055118110237" footer="0.15748031496062992"/>
  <pageSetup paperSize="9" orientation="portrait" horizontalDpi="300" verticalDpi="300" r:id="rId1"/>
  <headerFooter>
    <oddFooter>&amp;C&amp;8第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74</vt:i4>
      </vt:variant>
      <vt:variant>
        <vt:lpstr>命名范围</vt:lpstr>
      </vt:variant>
      <vt:variant>
        <vt:i4>143</vt:i4>
      </vt:variant>
    </vt:vector>
  </HeadingPairs>
  <TitlesOfParts>
    <vt:vector size="217" baseType="lpstr">
      <vt:lpstr>00-工价目录</vt:lpstr>
      <vt:lpstr>01-CZ2209-1</vt:lpstr>
      <vt:lpstr>02-专线4257-1</vt:lpstr>
      <vt:lpstr>03-CZ577-1</vt:lpstr>
      <vt:lpstr>04-CZ577</vt:lpstr>
      <vt:lpstr>05-XJX21</vt:lpstr>
      <vt:lpstr>06-XJX20</vt:lpstr>
      <vt:lpstr>07-SC330、专线4248</vt:lpstr>
      <vt:lpstr>08-SC330-1、专线4248-I</vt:lpstr>
      <vt:lpstr>09-专线4249</vt:lpstr>
      <vt:lpstr>10-专线4249-1</vt:lpstr>
      <vt:lpstr>11-CZ2209-IV</vt:lpstr>
      <vt:lpstr>12-CZ577-IV</vt:lpstr>
      <vt:lpstr>13-铁联线051-IV</vt:lpstr>
      <vt:lpstr>14-SC330-IV</vt:lpstr>
      <vt:lpstr>15-专线4249-IV</vt:lpstr>
      <vt:lpstr>16-精加工心轨</vt:lpstr>
      <vt:lpstr>17-专线9931</vt:lpstr>
      <vt:lpstr>18-CDDT7(II)-01 </vt:lpstr>
      <vt:lpstr>19-专线4196 </vt:lpstr>
      <vt:lpstr>20-CDDT7(Ⅱ)-01 </vt:lpstr>
      <vt:lpstr>21-CDGD8(II)-02</vt:lpstr>
      <vt:lpstr>22-CDDT(19)-01 </vt:lpstr>
      <vt:lpstr>23-TSY80-08</vt:lpstr>
      <vt:lpstr>24-TSY21-08</vt:lpstr>
      <vt:lpstr>25-SC330G</vt:lpstr>
      <vt:lpstr>26-专线4249G</vt:lpstr>
      <vt:lpstr>27-铁联线051</vt:lpstr>
      <vt:lpstr>28-专线9761-Ⅱ-400</vt:lpstr>
      <vt:lpstr>29-专线9761-Ⅲ-300</vt:lpstr>
      <vt:lpstr>30-专线9761-Ⅲ-400</vt:lpstr>
      <vt:lpstr>31-专线9761-Ⅲ-500</vt:lpstr>
      <vt:lpstr>32-成都地铁C6D813</vt:lpstr>
      <vt:lpstr>33-成都地铁C6JA94</vt:lpstr>
      <vt:lpstr>34-成都地铁ZYX-01</vt:lpstr>
      <vt:lpstr>35-成都地铁ZYX-02</vt:lpstr>
      <vt:lpstr>36-专线9775-Ⅰ-300</vt:lpstr>
      <vt:lpstr>37-专线9775-Ⅱ-400</vt:lpstr>
      <vt:lpstr>38-专线9775-Ⅱ-500</vt:lpstr>
      <vt:lpstr>39-GLC(09)05-Ⅳ</vt:lpstr>
      <vt:lpstr>40-研线1302-Ⅳ</vt:lpstr>
      <vt:lpstr>41-CB2215-Ⅳ</vt:lpstr>
      <vt:lpstr>42-CB2216-Ⅳ</vt:lpstr>
      <vt:lpstr>43-研线1302心轨及镶块</vt:lpstr>
      <vt:lpstr>44-研线1316镶块</vt:lpstr>
      <vt:lpstr>45-CZ2545心轨及镶块</vt:lpstr>
      <vt:lpstr>46-其它项目</vt:lpstr>
      <vt:lpstr>47-专线7623</vt:lpstr>
      <vt:lpstr>48-研线1115</vt:lpstr>
      <vt:lpstr>49-专线7623-Ⅳ</vt:lpstr>
      <vt:lpstr>50-CZ580</vt:lpstr>
      <vt:lpstr>51-CZ580-Ⅳ</vt:lpstr>
      <vt:lpstr>52-SC340-Ⅳ</vt:lpstr>
      <vt:lpstr>53-SC350-Ⅳ </vt:lpstr>
      <vt:lpstr>54-SC350G</vt:lpstr>
      <vt:lpstr>55-SC340</vt:lpstr>
      <vt:lpstr>56-铁联线021-IV</vt:lpstr>
      <vt:lpstr>57-XJX20-IV</vt:lpstr>
      <vt:lpstr>58-C6JJ11</vt:lpstr>
      <vt:lpstr>59-专线4248-IV</vt:lpstr>
      <vt:lpstr>60-CZ2504</vt:lpstr>
      <vt:lpstr>61-专线4257-Ⅳ</vt:lpstr>
      <vt:lpstr>62-SC330-IV</vt:lpstr>
      <vt:lpstr>63-CZ580</vt:lpstr>
      <vt:lpstr>64-CZ577</vt:lpstr>
      <vt:lpstr>65-CZ2209-I</vt:lpstr>
      <vt:lpstr>66-专线4204</vt:lpstr>
      <vt:lpstr>67-研线16121HC-I</vt:lpstr>
      <vt:lpstr>68-研线1609HC-I</vt:lpstr>
      <vt:lpstr>69-研线16121HC-IV</vt:lpstr>
      <vt:lpstr>70-研线1609HC-IV</vt:lpstr>
      <vt:lpstr>71-CZ2545HC-IV</vt:lpstr>
      <vt:lpstr>72-补漏项</vt:lpstr>
      <vt:lpstr>73-CZ2504-IV</vt:lpstr>
      <vt:lpstr>'01-CZ2209-1'!Print_Area</vt:lpstr>
      <vt:lpstr>'02-专线4257-1'!Print_Area</vt:lpstr>
      <vt:lpstr>'03-CZ577-1'!Print_Area</vt:lpstr>
      <vt:lpstr>'04-CZ577'!Print_Area</vt:lpstr>
      <vt:lpstr>'05-XJX21'!Print_Area</vt:lpstr>
      <vt:lpstr>'06-XJX20'!Print_Area</vt:lpstr>
      <vt:lpstr>'07-SC330、专线4248'!Print_Area</vt:lpstr>
      <vt:lpstr>'08-SC330-1、专线4248-I'!Print_Area</vt:lpstr>
      <vt:lpstr>'09-专线4249'!Print_Area</vt:lpstr>
      <vt:lpstr>'10-专线4249-1'!Print_Area</vt:lpstr>
      <vt:lpstr>'11-CZ2209-IV'!Print_Area</vt:lpstr>
      <vt:lpstr>'12-CZ577-IV'!Print_Area</vt:lpstr>
      <vt:lpstr>'14-SC330-IV'!Print_Area</vt:lpstr>
      <vt:lpstr>'15-专线4249-IV'!Print_Area</vt:lpstr>
      <vt:lpstr>'16-精加工心轨'!Print_Area</vt:lpstr>
      <vt:lpstr>'17-专线9931'!Print_Area</vt:lpstr>
      <vt:lpstr>'18-CDDT7(II)-01 '!Print_Area</vt:lpstr>
      <vt:lpstr>'19-专线4196 '!Print_Area</vt:lpstr>
      <vt:lpstr>'20-CDDT7(Ⅱ)-01 '!Print_Area</vt:lpstr>
      <vt:lpstr>'21-CDGD8(II)-02'!Print_Area</vt:lpstr>
      <vt:lpstr>'22-CDDT(19)-01 '!Print_Area</vt:lpstr>
      <vt:lpstr>'23-TSY80-08'!Print_Area</vt:lpstr>
      <vt:lpstr>'24-TSY21-08'!Print_Area</vt:lpstr>
      <vt:lpstr>'25-SC330G'!Print_Area</vt:lpstr>
      <vt:lpstr>'26-专线4249G'!Print_Area</vt:lpstr>
      <vt:lpstr>'27-铁联线051'!Print_Area</vt:lpstr>
      <vt:lpstr>'28-专线9761-Ⅱ-400'!Print_Area</vt:lpstr>
      <vt:lpstr>'29-专线9761-Ⅲ-300'!Print_Area</vt:lpstr>
      <vt:lpstr>'31-专线9761-Ⅲ-500'!Print_Area</vt:lpstr>
      <vt:lpstr>'32-成都地铁C6D813'!Print_Area</vt:lpstr>
      <vt:lpstr>'33-成都地铁C6JA94'!Print_Area</vt:lpstr>
      <vt:lpstr>'34-成都地铁ZYX-01'!Print_Area</vt:lpstr>
      <vt:lpstr>'35-成都地铁ZYX-02'!Print_Area</vt:lpstr>
      <vt:lpstr>'36-专线9775-Ⅰ-300'!Print_Area</vt:lpstr>
      <vt:lpstr>'37-专线9775-Ⅱ-400'!Print_Area</vt:lpstr>
      <vt:lpstr>'38-专线9775-Ⅱ-500'!Print_Area</vt:lpstr>
      <vt:lpstr>'39-GLC(09)05-Ⅳ'!Print_Area</vt:lpstr>
      <vt:lpstr>'40-研线1302-Ⅳ'!Print_Area</vt:lpstr>
      <vt:lpstr>'41-CB2215-Ⅳ'!Print_Area</vt:lpstr>
      <vt:lpstr>'42-CB2216-Ⅳ'!Print_Area</vt:lpstr>
      <vt:lpstr>'43-研线1302心轨及镶块'!Print_Area</vt:lpstr>
      <vt:lpstr>'44-研线1316镶块'!Print_Area</vt:lpstr>
      <vt:lpstr>'45-CZ2545心轨及镶块'!Print_Area</vt:lpstr>
      <vt:lpstr>'47-专线7623'!Print_Area</vt:lpstr>
      <vt:lpstr>'48-研线1115'!Print_Area</vt:lpstr>
      <vt:lpstr>'49-专线7623-Ⅳ'!Print_Area</vt:lpstr>
      <vt:lpstr>'50-CZ580'!Print_Area</vt:lpstr>
      <vt:lpstr>'51-CZ580-Ⅳ'!Print_Area</vt:lpstr>
      <vt:lpstr>'52-SC340-Ⅳ'!Print_Area</vt:lpstr>
      <vt:lpstr>'53-SC350-Ⅳ '!Print_Area</vt:lpstr>
      <vt:lpstr>'54-SC350G'!Print_Area</vt:lpstr>
      <vt:lpstr>'55-SC340'!Print_Area</vt:lpstr>
      <vt:lpstr>'56-铁联线021-IV'!Print_Area</vt:lpstr>
      <vt:lpstr>'57-XJX20-IV'!Print_Area</vt:lpstr>
      <vt:lpstr>'58-C6JJ11'!Print_Area</vt:lpstr>
      <vt:lpstr>'59-专线4248-IV'!Print_Area</vt:lpstr>
      <vt:lpstr>'60-CZ2504'!Print_Area</vt:lpstr>
      <vt:lpstr>'61-专线4257-Ⅳ'!Print_Area</vt:lpstr>
      <vt:lpstr>'62-SC330-IV'!Print_Area</vt:lpstr>
      <vt:lpstr>'63-CZ580'!Print_Area</vt:lpstr>
      <vt:lpstr>'64-CZ577'!Print_Area</vt:lpstr>
      <vt:lpstr>'65-CZ2209-I'!Print_Area</vt:lpstr>
      <vt:lpstr>'66-专线4204'!Print_Area</vt:lpstr>
      <vt:lpstr>'68-研线1609HC-I'!Print_Area</vt:lpstr>
      <vt:lpstr>'69-研线16121HC-IV'!Print_Area</vt:lpstr>
      <vt:lpstr>'70-研线1609HC-IV'!Print_Area</vt:lpstr>
      <vt:lpstr>'71-CZ2545HC-IV'!Print_Area</vt:lpstr>
      <vt:lpstr>'72-补漏项'!Print_Area</vt:lpstr>
      <vt:lpstr>'73-CZ2504-IV'!Print_Area</vt:lpstr>
      <vt:lpstr>'00-工价目录'!Print_Titles</vt:lpstr>
      <vt:lpstr>'01-CZ2209-1'!Print_Titles</vt:lpstr>
      <vt:lpstr>'02-专线4257-1'!Print_Titles</vt:lpstr>
      <vt:lpstr>'03-CZ577-1'!Print_Titles</vt:lpstr>
      <vt:lpstr>'04-CZ577'!Print_Titles</vt:lpstr>
      <vt:lpstr>'05-XJX21'!Print_Titles</vt:lpstr>
      <vt:lpstr>'06-XJX20'!Print_Titles</vt:lpstr>
      <vt:lpstr>'07-SC330、专线4248'!Print_Titles</vt:lpstr>
      <vt:lpstr>'08-SC330-1、专线4248-I'!Print_Titles</vt:lpstr>
      <vt:lpstr>'09-专线4249'!Print_Titles</vt:lpstr>
      <vt:lpstr>'10-专线4249-1'!Print_Titles</vt:lpstr>
      <vt:lpstr>'11-CZ2209-IV'!Print_Titles</vt:lpstr>
      <vt:lpstr>'12-CZ577-IV'!Print_Titles</vt:lpstr>
      <vt:lpstr>'13-铁联线051-IV'!Print_Titles</vt:lpstr>
      <vt:lpstr>'14-SC330-IV'!Print_Titles</vt:lpstr>
      <vt:lpstr>'15-专线4249-IV'!Print_Titles</vt:lpstr>
      <vt:lpstr>'16-精加工心轨'!Print_Titles</vt:lpstr>
      <vt:lpstr>'17-专线9931'!Print_Titles</vt:lpstr>
      <vt:lpstr>'18-CDDT7(II)-01 '!Print_Titles</vt:lpstr>
      <vt:lpstr>'19-专线4196 '!Print_Titles</vt:lpstr>
      <vt:lpstr>'20-CDDT7(Ⅱ)-01 '!Print_Titles</vt:lpstr>
      <vt:lpstr>'21-CDGD8(II)-02'!Print_Titles</vt:lpstr>
      <vt:lpstr>'22-CDDT(19)-01 '!Print_Titles</vt:lpstr>
      <vt:lpstr>'23-TSY80-08'!Print_Titles</vt:lpstr>
      <vt:lpstr>'24-TSY21-08'!Print_Titles</vt:lpstr>
      <vt:lpstr>'25-SC330G'!Print_Titles</vt:lpstr>
      <vt:lpstr>'26-专线4249G'!Print_Titles</vt:lpstr>
      <vt:lpstr>'27-铁联线051'!Print_Titles</vt:lpstr>
      <vt:lpstr>'28-专线9761-Ⅱ-400'!Print_Titles</vt:lpstr>
      <vt:lpstr>'29-专线9761-Ⅲ-300'!Print_Titles</vt:lpstr>
      <vt:lpstr>'30-专线9761-Ⅲ-400'!Print_Titles</vt:lpstr>
      <vt:lpstr>'31-专线9761-Ⅲ-500'!Print_Titles</vt:lpstr>
      <vt:lpstr>'32-成都地铁C6D813'!Print_Titles</vt:lpstr>
      <vt:lpstr>'33-成都地铁C6JA94'!Print_Titles</vt:lpstr>
      <vt:lpstr>'34-成都地铁ZYX-01'!Print_Titles</vt:lpstr>
      <vt:lpstr>'35-成都地铁ZYX-02'!Print_Titles</vt:lpstr>
      <vt:lpstr>'36-专线9775-Ⅰ-300'!Print_Titles</vt:lpstr>
      <vt:lpstr>'37-专线9775-Ⅱ-400'!Print_Titles</vt:lpstr>
      <vt:lpstr>'38-专线9775-Ⅱ-500'!Print_Titles</vt:lpstr>
      <vt:lpstr>'39-GLC(09)05-Ⅳ'!Print_Titles</vt:lpstr>
      <vt:lpstr>'40-研线1302-Ⅳ'!Print_Titles</vt:lpstr>
      <vt:lpstr>'41-CB2215-Ⅳ'!Print_Titles</vt:lpstr>
      <vt:lpstr>'42-CB2216-Ⅳ'!Print_Titles</vt:lpstr>
      <vt:lpstr>'43-研线1302心轨及镶块'!Print_Titles</vt:lpstr>
      <vt:lpstr>'44-研线1316镶块'!Print_Titles</vt:lpstr>
      <vt:lpstr>'45-CZ2545心轨及镶块'!Print_Titles</vt:lpstr>
      <vt:lpstr>'46-其它项目'!Print_Titles</vt:lpstr>
      <vt:lpstr>'47-专线7623'!Print_Titles</vt:lpstr>
      <vt:lpstr>'48-研线1115'!Print_Titles</vt:lpstr>
      <vt:lpstr>'49-专线7623-Ⅳ'!Print_Titles</vt:lpstr>
      <vt:lpstr>'50-CZ580'!Print_Titles</vt:lpstr>
      <vt:lpstr>'51-CZ580-Ⅳ'!Print_Titles</vt:lpstr>
      <vt:lpstr>'52-SC340-Ⅳ'!Print_Titles</vt:lpstr>
      <vt:lpstr>'53-SC350-Ⅳ '!Print_Titles</vt:lpstr>
      <vt:lpstr>'54-SC350G'!Print_Titles</vt:lpstr>
      <vt:lpstr>'55-SC340'!Print_Titles</vt:lpstr>
      <vt:lpstr>'56-铁联线021-IV'!Print_Titles</vt:lpstr>
      <vt:lpstr>'57-XJX20-IV'!Print_Titles</vt:lpstr>
      <vt:lpstr>'58-C6JJ11'!Print_Titles</vt:lpstr>
      <vt:lpstr>'59-专线4248-IV'!Print_Titles</vt:lpstr>
      <vt:lpstr>'60-CZ2504'!Print_Titles</vt:lpstr>
      <vt:lpstr>'61-专线4257-Ⅳ'!Print_Titles</vt:lpstr>
      <vt:lpstr>'62-SC330-IV'!Print_Titles</vt:lpstr>
      <vt:lpstr>'63-CZ580'!Print_Titles</vt:lpstr>
      <vt:lpstr>'64-CZ577'!Print_Titles</vt:lpstr>
      <vt:lpstr>'65-CZ2209-I'!Print_Titles</vt:lpstr>
      <vt:lpstr>'66-专线4204'!Print_Titles</vt:lpstr>
      <vt:lpstr>'67-研线16121HC-I'!Print_Titles</vt:lpstr>
      <vt:lpstr>'68-研线1609HC-I'!Print_Titles</vt:lpstr>
      <vt:lpstr>'69-研线16121HC-IV'!Print_Titles</vt:lpstr>
      <vt:lpstr>'70-研线1609HC-IV'!Print_Titles</vt:lpstr>
      <vt:lpstr>'71-CZ2545HC-IV'!Print_Titles</vt:lpstr>
      <vt:lpstr>'72-补漏项'!Print_Titles</vt:lpstr>
      <vt:lpstr>'73-CZ2504-IV'!Print_Titles</vt:lpstr>
    </vt:vector>
  </TitlesOfParts>
  <Company>www.deepin.org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锐驰 张</cp:lastModifiedBy>
  <cp:lastPrinted>2025-06-06T02:19:00Z</cp:lastPrinted>
  <dcterms:created xsi:type="dcterms:W3CDTF">2021-02-27T07:26:00Z</dcterms:created>
  <dcterms:modified xsi:type="dcterms:W3CDTF">2025-06-19T09:02:53Z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FF281A852451423FA8FD9691A57A1D0D_13</vt:lpwstr>
  </property>
  <property fmtid="{D5CDD505-2E9C-101B-9397-08002B2CF9AE}" pid="3" name="KSOProductBuildVer">
    <vt:lpwstr>2052-12.1.0.21171</vt:lpwstr>
  </property>
</Properties>
</file>